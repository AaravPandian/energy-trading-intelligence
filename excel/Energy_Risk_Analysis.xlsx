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sk Summary" sheetId="1" r:id="rId1"/>
    <sheet name="Assumptions" sheetId="2" r:id="rId2"/>
    <sheet name="Monthly Prices" sheetId="3" r:id="rId3"/>
    <sheet name="Scenario Grid" sheetId="4" r:id="rId4"/>
    <sheet name="Sources &amp; Notes" sheetId="5" r:id="rId5"/>
  </sheets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$#,##0;[Red]($#,##0);-"/>
    <numFmt numFmtId="165" formatCode="0.0%;[Red](0.0%);-"/>
    <numFmt numFmtId="166" formatCode="mmm yyyy"/>
    <numFmt numFmtId="167" formatCode="#,##0.00;[Red](#,##0.00);-"/>
    <numFmt numFmtId="168" formatCode="$#,##0.00;[Red]($#,##0.00);-"/>
    <numFmt numFmtId="169" formatCode="#,##0"/>
  </numFmts>
  <fonts count="6">
    <font>
      <sz val="11"/>
      <name val="Aptos"/>
      <color rgb="FF172D40"/>
    </font>
    <font>
      <sz val="17"/>
      <name val="Aptos Display"/>
      <b/>
      <color rgb="FFFFFFFF"/>
    </font>
    <font>
      <sz val="11"/>
      <name val="Aptos"/>
      <b/>
      <color rgb="FFFFFFFF"/>
    </font>
    <font>
      <sz val="11"/>
      <name val="Aptos"/>
      <color rgb="FF2055A3"/>
    </font>
    <font>
      <sz val="11"/>
      <name val="Aptos"/>
      <color rgb="FF008060"/>
    </font>
    <font>
      <sz val="10"/>
      <name val="Aptos"/>
      <color rgb="FF64748B"/>
    </font>
  </fonts>
  <fills count="6">
    <fill>
      <patternFill patternType="none"/>
    </fill>
    <fill>
      <patternFill patternType="gray125"/>
    </fill>
    <fill>
      <patternFill patternType="solid">
        <fgColor rgb="FF123047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4B8"/>
        <bgColor indexed="64"/>
      </patternFill>
    </fill>
    <fill>
      <patternFill patternType="solid">
        <fgColor rgb="FFE9F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 applyNumberFormat="1">
      <alignment horizontal="left" vertical="center" wrapText="1"/>
    </xf>
    <xf numFmtId="0" fontId="1" fillId="2" borderId="0" xfId="0" applyAlignment="1" applyNumberFormat="1">
      <alignment horizontal="left" vertical="center" wrapText="1"/>
    </xf>
    <xf numFmtId="0" fontId="2" fillId="3" borderId="0" xfId="0" applyAlignment="1" applyNumberFormat="1">
      <alignment horizontal="left" vertical="center" wrapText="1"/>
    </xf>
    <xf numFmtId="0" fontId="2" fillId="2" borderId="0" xfId="0" applyAlignment="1" applyNumberFormat="1">
      <alignment horizontal="left" vertical="center" wrapText="1"/>
    </xf>
    <xf numFmtId="0" fontId="3" fillId="4" borderId="0" xfId="0" applyAlignment="1" applyNumberFormat="1">
      <alignment horizontal="left" vertical="center" wrapText="1"/>
    </xf>
    <xf numFmtId="166" fontId="0" fillId="0" borderId="0" xfId="0" applyAlignment="1" applyNumberFormat="1">
      <alignment horizontal="left" vertical="center" wrapText="1"/>
    </xf>
    <xf numFmtId="164" fontId="0" fillId="0" borderId="0" xfId="0" applyAlignment="1" applyNumberFormat="1">
      <alignment horizontal="right" vertical="center" wrapText="1"/>
    </xf>
    <xf numFmtId="165" fontId="0" fillId="0" borderId="0" xfId="0" applyAlignment="1" applyNumberFormat="1">
      <alignment horizontal="right" vertical="center" wrapText="1"/>
    </xf>
    <xf numFmtId="167" fontId="0" fillId="0" borderId="0" xfId="0" applyAlignment="1" applyNumberFormat="1">
      <alignment horizontal="right" vertical="center" wrapText="1"/>
    </xf>
    <xf numFmtId="0" fontId="5" fillId="0" borderId="0" xfId="0" applyAlignment="1" applyNumberFormat="1">
      <alignment horizontal="left" vertical="center" wrapText="1"/>
    </xf>
    <xf numFmtId="167" fontId="4" fillId="0" borderId="0" xfId="0" applyAlignment="1" applyNumberFormat="1">
      <alignment horizontal="right" vertical="center" wrapText="1"/>
    </xf>
    <xf numFmtId="169" fontId="3" fillId="4" borderId="0" xfId="0" applyAlignment="1" applyNumberFormat="1">
      <alignment horizontal="right" vertical="center" wrapText="1"/>
    </xf>
    <xf numFmtId="165" fontId="3" fillId="4" borderId="0" xfId="0" applyAlignment="1" applyNumberFormat="1">
      <alignment horizontal="right" vertical="center" wrapText="1"/>
    </xf>
    <xf numFmtId="167" fontId="3" fillId="4" borderId="0" xfId="0" applyAlignment="1" applyNumberFormat="1">
      <alignment horizontal="right" vertical="center" wrapText="1"/>
    </xf>
    <xf numFmtId="164" fontId="4" fillId="5" borderId="0" xfId="0" applyAlignment="1" applyNumberFormat="1">
      <alignment horizontal="right" vertical="center" wrapText="1"/>
    </xf>
    <xf numFmtId="0" fontId="3" fillId="4" borderId="0" xfId="0" applyAlignment="1" applyNumberForma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33"/>
  <sheetViews>
    <sheetView workbookViewId="0" showGridLines="0">
      <pane ySplit="3" topLeftCell="A4" activePane="bottomLeft" state="frozen"/>
    </sheetView>
  </sheetViews>
  <sheetFormatPr defaultRowHeight="17"/>
  <cols>
    <col min="1" max="1" width="38" customWidth="1"/>
    <col min="2" max="2" width="27" customWidth="1"/>
    <col min="3" max="3" width="16" customWidth="1"/>
    <col min="4" max="4" width="59" customWidth="1"/>
    <col min="5" max="5" width="3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</cols>
  <sheetData>
    <row r="1" ht="38" customHeight="1">
      <c r="A1" s="1" t="inlineStr">
        <is>
          <t xml:space="preserve">ENERGY TRADING  |  RISK INTELLIGENCE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28" customHeight="1">
      <c r="A3" s="3" t="inlineStr">
        <is>
          <t xml:space="preserve">Historical market indicators</t>
        </is>
      </c>
      <c r="B3" s="3" t="inlineStr">
        <is>
          <t xml:space="preserve">Value</t>
        </is>
      </c>
      <c r="C3" s="3" t="inlineStr">
        <is>
          <t xml:space="preserve">Unit</t>
        </is>
      </c>
      <c r="D3" s="3" t="inlineStr">
        <is>
          <t xml:space="preserve">Interpretation</t>
        </is>
      </c>
    </row>
    <row r="5">
      <c r="A5" s="0" t="inlineStr">
        <is>
          <t xml:space="preserve">As of</t>
        </is>
      </c>
      <c r="B5" s="5">
        <f>'Monthly Prices'!A69</f>
        <v>46235</v>
      </c>
      <c r="C5" s="0" t="inlineStr">
        <is>
          <t xml:space="preserve">Month</t>
        </is>
      </c>
      <c r="D5" s="9" t="inlineStr">
        <is>
          <t xml:space="preserve">Last observation in frozen EIA dataset</t>
        </is>
      </c>
    </row>
    <row r="6">
      <c r="A6" s="0" t="inlineStr">
        <is>
          <t xml:space="preserve">Brent average</t>
        </is>
      </c>
      <c r="B6" s="8">
        <f>'Monthly Prices'!B69</f>
        <v>91.08</v>
      </c>
      <c r="C6" s="0" t="inlineStr">
        <is>
          <t xml:space="preserve">USD/bbl</t>
        </is>
      </c>
      <c r="D6" s="9" t="inlineStr">
        <is>
          <t xml:space="preserve">EIA Europe Brent FOB spot monthly average</t>
        </is>
      </c>
    </row>
    <row r="7">
      <c r="A7" s="0" t="inlineStr">
        <is>
          <t xml:space="preserve">WTI average</t>
        </is>
      </c>
      <c r="B7" s="8">
        <f>'Monthly Prices'!C69</f>
        <v>83.9</v>
      </c>
      <c r="C7" s="0" t="inlineStr">
        <is>
          <t xml:space="preserve">USD/bbl</t>
        </is>
      </c>
      <c r="D7" s="9" t="inlineStr">
        <is>
          <t xml:space="preserve">EIA Cushing WTI FOB spot monthly average</t>
        </is>
      </c>
    </row>
    <row r="8">
      <c r="A8" s="0" t="inlineStr">
        <is>
          <t xml:space="preserve">Brent minus WTI</t>
        </is>
      </c>
      <c r="B8" s="8">
        <f>'Monthly Prices'!F69</f>
        <v>7.179999999999993</v>
      </c>
      <c r="C8" s="0" t="inlineStr">
        <is>
          <t xml:space="preserve">USD/bbl</t>
        </is>
      </c>
      <c r="D8" s="9" t="inlineStr">
        <is>
          <t xml:space="preserve">Benchmark premium, NOT an arbitrage profit</t>
        </is>
      </c>
    </row>
    <row r="9">
      <c r="A9" s="0" t="inlineStr">
        <is>
          <t xml:space="preserve">Brent month-on-month</t>
        </is>
      </c>
      <c r="B9" s="7">
        <f>'Monthly Prices'!D69</f>
        <v>0.08739255014326641</v>
      </c>
      <c r="C9" s="0" t="inlineStr">
        <is>
          <t xml:space="preserve">%</t>
        </is>
      </c>
      <c r="D9" s="9" t="inlineStr">
        <is>
          <t xml:space="preserve">Change in monthly averages vs previous month</t>
        </is>
      </c>
    </row>
    <row r="10">
      <c r="A10" s="0" t="inlineStr">
        <is>
          <t xml:space="preserve">WTI month-on-month</t>
        </is>
      </c>
      <c r="B10" s="7">
        <f>'Monthly Prices'!E69</f>
        <v>0.042754163559532765</v>
      </c>
      <c r="C10" s="0" t="inlineStr">
        <is>
          <t xml:space="preserve">%</t>
        </is>
      </c>
      <c r="D10" s="9" t="inlineStr">
        <is>
          <t xml:space="preserve">Change in monthly averages vs previous month</t>
        </is>
      </c>
    </row>
    <row r="11">
      <c r="A11" s="0" t="inlineStr">
        <is>
          <t xml:space="preserve">Brent annualised 6m vol</t>
        </is>
      </c>
      <c r="B11" s="7">
        <f>'Monthly Prices'!G69</f>
        <v>0.7890767012523081</v>
      </c>
      <c r="C11" s="0" t="inlineStr">
        <is>
          <t xml:space="preserve">%</t>
        </is>
      </c>
      <c r="D11" s="9" t="inlineStr">
        <is>
          <t xml:space="preserve">Six monthly changes sample deviation x sqrt(12)</t>
        </is>
      </c>
    </row>
    <row r="12">
      <c r="A12" s="0" t="inlineStr">
        <is>
          <t xml:space="preserve">WTI annualised 6m vol</t>
        </is>
      </c>
      <c r="B12" s="7">
        <f>'Monthly Prices'!H69</f>
        <v>0.6853141633367784</v>
      </c>
      <c r="C12" s="0" t="inlineStr">
        <is>
          <t xml:space="preserve">%</t>
        </is>
      </c>
      <c r="D12" s="9" t="inlineStr">
        <is>
          <t xml:space="preserve">Six monthly changes sample deviation x sqrt(12)</t>
        </is>
      </c>
    </row>
    <row r="14" ht="28" customHeight="1">
      <c r="A14" s="2" t="inlineStr">
        <is>
          <t xml:space="preserve">COMMERCIAL SCENARIO  |  Edit yellow cells on Assumptions</t>
        </is>
      </c>
      <c r="B14" s="2"/>
      <c r="C14" s="2"/>
      <c r="D14" s="2"/>
    </row>
    <row r="15">
      <c r="A15" s="0" t="inlineStr">
        <is>
          <t xml:space="preserve">Benchmark</t>
        </is>
      </c>
      <c r="B15" s="0" t="str">
        <f>Assumptions!B5</f>
        <v>Brent</v>
      </c>
    </row>
    <row r="16">
      <c r="A16" s="0" t="inlineStr">
        <is>
          <t xml:space="preserve">Current reference price</t>
        </is>
      </c>
      <c r="B16" s="8">
        <f>IF(B15="Brent",B6,B7)</f>
        <v>91.08</v>
      </c>
    </row>
    <row r="17">
      <c r="A17" s="0" t="inlineStr">
        <is>
          <t xml:space="preserve">Position</t>
        </is>
      </c>
      <c r="B17" s="0" t="str">
        <f>Assumptions!B11</f>
        <v>Buyer</v>
      </c>
    </row>
    <row r="18">
      <c r="A18" s="0" t="inlineStr">
        <is>
          <t xml:space="preserve">Price shock</t>
        </is>
      </c>
      <c r="B18" s="7">
        <f>Assumptions!B7</f>
        <v>0.15</v>
      </c>
    </row>
    <row r="19">
      <c r="A19" s="0" t="inlineStr">
        <is>
          <t xml:space="preserve">Fixed-price share</t>
        </is>
      </c>
      <c r="B19" s="7">
        <f>Assumptions!B8</f>
        <v>0.5</v>
      </c>
    </row>
    <row r="20">
      <c r="A20" s="0" t="inlineStr">
        <is>
          <t xml:space="preserve">Exposure in barrels</t>
        </is>
      </c>
      <c r="B20" s="11">
        <f>Assumptions!B6</f>
        <v>10000</v>
      </c>
    </row>
    <row r="22">
      <c r="A22" s="0" t="inlineStr">
        <is>
          <t xml:space="preserve">Base signed cash flow ($)</t>
        </is>
      </c>
      <c r="B22" s="6">
        <f>IF(B17="Buyer",-1,1)*B16*B20</f>
        <v>-910800.0</v>
      </c>
    </row>
    <row r="23">
      <c r="A23" s="0" t="inlineStr">
        <is>
          <t xml:space="preserve">Shocked reference price ($/bbl)</t>
        </is>
      </c>
      <c r="B23" s="8">
        <f>B16*(1+B18)</f>
        <v>104.74199999999999</v>
      </c>
    </row>
    <row r="24">
      <c r="A24" s="0" t="inlineStr">
        <is>
          <t xml:space="preserve">Shocked signed cash flow ($)</t>
        </is>
      </c>
      <c r="B24" s="6">
        <f>IF(B17="Buyer",-1,1)*B23*B20</f>
        <v>-1047419.9999999999</v>
      </c>
    </row>
    <row r="25">
      <c r="A25" s="0" t="inlineStr">
        <is>
          <t xml:space="preserve">Change before coverage proxy ($)</t>
        </is>
      </c>
      <c r="B25" s="6">
        <f>B24-B22</f>
        <v>-136619.99999999988</v>
      </c>
    </row>
    <row r="26">
      <c r="A26" s="0" t="inlineStr">
        <is>
          <t xml:space="preserve">Change after coverage proxy ($)</t>
        </is>
      </c>
      <c r="B26" s="14">
        <f>B25*(1-B19)</f>
        <v>-68309.99999999994</v>
      </c>
    </row>
    <row r="27">
      <c r="A27" s="0" t="inlineStr">
        <is>
          <t xml:space="preserve">Cash flow after coverage proxy ($)</t>
        </is>
      </c>
      <c r="B27" s="6">
        <f>B22+B26</f>
        <v>-979110.0</v>
      </c>
    </row>
    <row r="29">
      <c r="A29" s="0" t="inlineStr">
        <is>
          <t xml:space="preserve">Rule-based risk review</t>
        </is>
      </c>
      <c r="B29" s="0" t="str">
        <f>IF(IF(B15="Brent",B11,B12)&gt;=Assumptions!B12,"ELEVATED: review exposure controls","ROUTINE: monitor exposures")</f>
        <v>ELEVATED: review exposure controls</v>
      </c>
    </row>
    <row r="31">
      <c r="A31" s="9" t="inlineStr">
        <is>
          <t xml:space="preserve">Historical cut</t>
        </is>
      </c>
      <c r="B31" s="9" t="inlineStr">
        <is>
          <t xml:space="preserve">August 2026</t>
        </is>
      </c>
    </row>
    <row r="32">
      <c r="A32" s="9" t="inlineStr">
        <is>
          <t xml:space="preserve">Sources</t>
        </is>
      </c>
      <c r="B32" s="9" t="inlineStr">
        <is>
          <t xml:space="preserve">U.S. Energy Information Administration</t>
        </is>
      </c>
    </row>
    <row r="33">
      <c r="A33" s="9" t="inlineStr">
        <is>
          <t xml:space="preserve">Important</t>
        </is>
      </c>
      <c r="B33" s="9" t="inlineStr">
        <is>
          <t xml:space="preserve">Illustrative cost/revenue exposure, not actual hedge effectiveness</t>
        </is>
      </c>
    </row>
  </sheetData>
  <mergeCells count="2">
    <mergeCell ref="A1:M1"/>
    <mergeCell ref="A14:D14"/>
  </mergeCells>
  <pageMargins left="0.35" right="0.35" top="0.5" bottom="0.5" header="0.2" footer="0.2"/>
</worksheet>
</file>

<file path=xl/worksheets/sheet2.xml><?xml version="1.0" encoding="utf-8"?>
<worksheet xmlns="http://schemas.openxmlformats.org/spreadsheetml/2006/main">
  <dimension ref="A1:F19"/>
  <sheetViews>
    <sheetView workbookViewId="0" showGridLines="0">
      <pane ySplit="3" topLeftCell="A4" activePane="bottomLeft" state="frozen"/>
    </sheetView>
  </sheetViews>
  <sheetFormatPr defaultRowHeight="17"/>
  <cols>
    <col min="1" max="1" width="35" customWidth="1"/>
    <col min="2" max="2" width="22" customWidth="1"/>
    <col min="3" max="3" width="64" customWidth="1"/>
    <col min="4" max="4" width="15" customWidth="1"/>
    <col min="5" max="5" width="15" customWidth="1"/>
    <col min="6" max="6" width="15" customWidth="1"/>
  </cols>
  <sheetData>
    <row r="1" ht="38" customHeight="1">
      <c r="A1" s="1" t="inlineStr">
        <is>
          <t xml:space="preserve">ASSUMPTIONS  |  Blue text on yellow = editable</t>
        </is>
      </c>
      <c r="B1" s="1"/>
      <c r="C1" s="1"/>
      <c r="D1" s="1"/>
      <c r="E1" s="1"/>
      <c r="F1" s="1"/>
    </row>
    <row r="3" ht="28" customHeight="1">
      <c r="A3" s="3" t="inlineStr">
        <is>
          <t xml:space="preserve">Parameter</t>
        </is>
      </c>
      <c r="B3" s="3" t="inlineStr">
        <is>
          <t xml:space="preserve">Editable value</t>
        </is>
      </c>
      <c r="C3" s="3" t="inlineStr">
        <is>
          <t xml:space="preserve">Explanation</t>
        </is>
      </c>
    </row>
    <row r="5">
      <c r="A5" s="0" t="inlineStr">
        <is>
          <t xml:space="preserve">Benchmark</t>
        </is>
      </c>
      <c r="B5" s="15" t="inlineStr">
        <is>
          <t xml:space="preserve">Brent</t>
        </is>
      </c>
      <c r="C5" s="9" t="inlineStr">
        <is>
          <t xml:space="preserve">Choose Brent or WTI monthly-average benchmark</t>
        </is>
      </c>
    </row>
    <row r="6">
      <c r="A6" s="0" t="inlineStr">
        <is>
          <t xml:space="preserve">Exposed volume (barrels)</t>
        </is>
      </c>
      <c r="B6" s="11">
        <v>10000</v>
      </c>
      <c r="C6" s="9" t="inlineStr">
        <is>
          <t xml:space="preserve">Illustrative future physical purchase or sale volume</t>
        </is>
      </c>
    </row>
    <row r="7">
      <c r="A7" s="0" t="inlineStr">
        <is>
          <t xml:space="preserve">Price shock</t>
        </is>
      </c>
      <c r="B7" s="12">
        <v>0.15</v>
      </c>
      <c r="C7" s="9" t="inlineStr">
        <is>
          <t xml:space="preserve">Hypothetical percentage change in oil benchmark</t>
        </is>
      </c>
    </row>
    <row r="8">
      <c r="A8" s="0" t="inlineStr">
        <is>
          <t xml:space="preserve">Fixed-price share</t>
        </is>
      </c>
      <c r="B8" s="12">
        <v>0.5</v>
      </c>
      <c r="C8" s="9" t="inlineStr">
        <is>
          <t xml:space="preserve">Simple perfect fixed-price coverage proxy, NOT a derivative</t>
        </is>
      </c>
    </row>
    <row r="9">
      <c r="A9" s="0" t="inlineStr">
        <is>
          <t xml:space="preserve">Periods per year</t>
        </is>
      </c>
      <c r="B9" s="11">
        <v>12</v>
      </c>
      <c r="C9" s="9" t="inlineStr">
        <is>
          <t xml:space="preserve">Monthly annualisation convention uses SQRT(12)</t>
        </is>
      </c>
    </row>
    <row r="10">
      <c r="A10" s="0" t="inlineStr">
        <is>
          <t xml:space="preserve">Rolling window (months)</t>
        </is>
      </c>
      <c r="B10" s="11">
        <v>6</v>
      </c>
      <c r="C10" s="9" t="inlineStr">
        <is>
          <t xml:space="preserve">The fixed historical chart uses six MONTHLY changes</t>
        </is>
      </c>
    </row>
    <row r="11">
      <c r="A11" s="0" t="inlineStr">
        <is>
          <t xml:space="preserve">Position</t>
        </is>
      </c>
      <c r="B11" s="15" t="inlineStr">
        <is>
          <t xml:space="preserve">Buyer</t>
        </is>
      </c>
      <c r="C11" s="9" t="inlineStr">
        <is>
          <t xml:space="preserve">Buyer incurs cost; seller receives cash flow</t>
        </is>
      </c>
    </row>
    <row r="12">
      <c r="A12" s="0" t="inlineStr">
        <is>
          <t xml:space="preserve">Risk-rule threshold</t>
        </is>
      </c>
      <c r="B12" s="12">
        <v>0.3</v>
      </c>
      <c r="C12" s="9" t="inlineStr">
        <is>
          <t xml:space="preserve">Illustrative annualised-volatility review threshold</t>
        </is>
      </c>
    </row>
    <row r="14" ht="28" customHeight="1">
      <c r="A14" s="2" t="inlineStr">
        <is>
          <t xml:space="preserve">READ BEFORE USING</t>
        </is>
      </c>
      <c r="B14" s="2"/>
      <c r="C14" s="2"/>
      <c r="D14" s="2"/>
      <c r="E14" s="2"/>
      <c r="F14" s="2"/>
    </row>
    <row r="15">
      <c r="A15" s="9" t="inlineStr">
        <is>
          <t xml:space="preserve">A beginner educational project, not a pricing system or investment recommendation.</t>
        </is>
      </c>
    </row>
    <row r="16">
      <c r="A16" s="9" t="inlineStr">
        <is>
          <t xml:space="preserve">Source prices are U.S. EIA MONTHLY averages; they are not live/executable market prices.</t>
        </is>
      </c>
    </row>
    <row r="17">
      <c r="A17" s="9" t="inlineStr">
        <is>
          <t xml:space="preserve">Fixed-price share assumes perfect coverage, ignoring basis, premiums, fees and margin.</t>
        </is>
      </c>
    </row>
    <row r="18">
      <c r="A18" s="9" t="inlineStr">
        <is>
          <t xml:space="preserve">Changing rolling-window input B10 does NOT change the historical six-month spreadsheet formulas.</t>
        </is>
      </c>
    </row>
    <row r="19">
      <c r="A19" s="9" t="inlineStr">
        <is>
          <t xml:space="preserve">2026 data are Jan–Aug only; do not compare a partial 2026 with full-year totals.</t>
        </is>
      </c>
    </row>
  </sheetData>
  <mergeCells count="2">
    <mergeCell ref="A1:F1"/>
    <mergeCell ref="A14:F14"/>
  </mergeCells>
  <pageMargins left="0.35" right="0.35" top="0.5" bottom="0.5" header="0.2" footer="0.2"/>
</worksheet>
</file>

<file path=xl/worksheets/sheet3.xml><?xml version="1.0" encoding="utf-8"?>
<worksheet xmlns="http://schemas.openxmlformats.org/spreadsheetml/2006/main">
  <dimension ref="A1:J69"/>
  <sheetViews>
    <sheetView workbookViewId="0" showGridLines="0">
      <pane ySplit="1" topLeftCell="A2" activePane="bottomLeft" state="frozen"/>
    </sheetView>
  </sheetViews>
  <sheetFormatPr defaultRowHeight="17"/>
  <cols>
    <col min="1" max="1" width="18" customWidth="1"/>
    <col min="2" max="2" width="18" customWidth="1"/>
    <col min="3" max="3" width="18" customWidth="1"/>
    <col min="4" max="4" width="20" customWidth="1"/>
    <col min="5" max="5" width="20" customWidth="1"/>
    <col min="6" max="6" width="25" customWidth="1"/>
    <col min="7" max="7" width="22" customWidth="1"/>
    <col min="8" max="8" width="22" customWidth="1"/>
    <col min="9" max="9" width="54" customWidth="1"/>
    <col min="10" max="10" width="54" customWidth="1"/>
  </cols>
  <sheetData>
    <row r="1" ht="38" customHeight="1">
      <c r="A1" s="3" t="inlineStr">
        <is>
          <t xml:space="preserve">Month</t>
        </is>
      </c>
      <c r="B1" s="3" t="inlineStr">
        <is>
          <t xml:space="preserve">Brent ($/bbl)</t>
        </is>
      </c>
      <c r="C1" s="3" t="inlineStr">
        <is>
          <t xml:space="preserve">WTI ($/bbl)</t>
        </is>
      </c>
      <c r="D1" s="3" t="inlineStr">
        <is>
          <t xml:space="preserve">Brent MoM change</t>
        </is>
      </c>
      <c r="E1" s="3" t="inlineStr">
        <is>
          <t xml:space="preserve">WTI MoM change</t>
        </is>
      </c>
      <c r="F1" s="3" t="inlineStr">
        <is>
          <t xml:space="preserve">Brent - WTI ($/bbl)</t>
        </is>
      </c>
      <c r="G1" s="3" t="inlineStr">
        <is>
          <t xml:space="preserve">Brent 6m ann. vol</t>
        </is>
      </c>
      <c r="H1" s="3" t="inlineStr">
        <is>
          <t xml:space="preserve">WTI 6m ann. vol</t>
        </is>
      </c>
      <c r="I1" s="3" t="inlineStr">
        <is>
          <t xml:space="preserve">Brent EIA source URL</t>
        </is>
      </c>
      <c r="J1" s="3" t="inlineStr">
        <is>
          <t xml:space="preserve">WTI EIA source URL</t>
        </is>
      </c>
    </row>
    <row r="2">
      <c r="A2" s="5">
        <v>44197</v>
      </c>
      <c r="B2" s="8">
        <v>54.77</v>
      </c>
      <c r="C2" s="8">
        <v>52.0</v>
      </c>
      <c r="F2" s="8">
        <f>B2-C2</f>
        <v>2.770000000000003</v>
      </c>
      <c r="I2" s="9" t="inlineStr">
        <is>
          <t xml:space="preserve">https://www.eia.gov/dnav/pet/hist/rbrtem.htm</t>
        </is>
      </c>
      <c r="J2" s="9" t="inlineStr">
        <is>
          <t xml:space="preserve">https://www.eia.gov/dnav/pet/hist/rwtcm.htm</t>
        </is>
      </c>
    </row>
    <row r="3">
      <c r="A3" s="5">
        <v>44228</v>
      </c>
      <c r="B3" s="8">
        <v>62.28</v>
      </c>
      <c r="C3" s="8">
        <v>59.04</v>
      </c>
      <c r="D3" s="7">
        <f>B3/B2-1</f>
        <v>0.13711886069015877</v>
      </c>
      <c r="E3" s="7">
        <f>C3/C2-1</f>
        <v>0.13538461538461544</v>
      </c>
      <c r="F3" s="8">
        <f>B3-C3</f>
        <v>3.240000000000002</v>
      </c>
      <c r="I3" s="9" t="inlineStr">
        <is>
          <t xml:space="preserve">https://www.eia.gov/dnav/pet/hist/rbrtem.htm</t>
        </is>
      </c>
      <c r="J3" s="9" t="inlineStr">
        <is>
          <t xml:space="preserve">https://www.eia.gov/dnav/pet/hist/rwtcm.htm</t>
        </is>
      </c>
    </row>
    <row r="4">
      <c r="A4" s="5">
        <v>44256</v>
      </c>
      <c r="B4" s="8">
        <v>65.41</v>
      </c>
      <c r="C4" s="8">
        <v>62.33</v>
      </c>
      <c r="D4" s="7">
        <f>B4/B3-1</f>
        <v>0.05025690430314711</v>
      </c>
      <c r="E4" s="7">
        <f>C4/C3-1</f>
        <v>0.05572493224932251</v>
      </c>
      <c r="F4" s="8">
        <f>B4-C4</f>
        <v>3.0799999999999983</v>
      </c>
      <c r="I4" s="9" t="inlineStr">
        <is>
          <t xml:space="preserve">https://www.eia.gov/dnav/pet/hist/rbrtem.htm</t>
        </is>
      </c>
      <c r="J4" s="9" t="inlineStr">
        <is>
          <t xml:space="preserve">https://www.eia.gov/dnav/pet/hist/rwtcm.htm</t>
        </is>
      </c>
    </row>
    <row r="5">
      <c r="A5" s="5">
        <v>44287</v>
      </c>
      <c r="B5" s="8">
        <v>64.81</v>
      </c>
      <c r="C5" s="8">
        <v>61.72</v>
      </c>
      <c r="D5" s="7">
        <f>B5/B4-1</f>
        <v>-0.009172909341079283</v>
      </c>
      <c r="E5" s="7">
        <f>C5/C4-1</f>
        <v>-0.009786619605326452</v>
      </c>
      <c r="F5" s="8">
        <f>B5-C5</f>
        <v>3.0900000000000034</v>
      </c>
      <c r="I5" s="9" t="inlineStr">
        <is>
          <t xml:space="preserve">https://www.eia.gov/dnav/pet/hist/rbrtem.htm</t>
        </is>
      </c>
      <c r="J5" s="9" t="inlineStr">
        <is>
          <t xml:space="preserve">https://www.eia.gov/dnav/pet/hist/rwtcm.htm</t>
        </is>
      </c>
    </row>
    <row r="6">
      <c r="A6" s="5">
        <v>44317</v>
      </c>
      <c r="B6" s="8">
        <v>68.53</v>
      </c>
      <c r="C6" s="8">
        <v>65.17</v>
      </c>
      <c r="D6" s="7">
        <f>B6/B5-1</f>
        <v>0.057398549606542115</v>
      </c>
      <c r="E6" s="7">
        <f>C6/C5-1</f>
        <v>0.05589760207388217</v>
      </c>
      <c r="F6" s="8">
        <f>B6-C6</f>
        <v>3.3599999999999994</v>
      </c>
      <c r="I6" s="9" t="inlineStr">
        <is>
          <t xml:space="preserve">https://www.eia.gov/dnav/pet/hist/rbrtem.htm</t>
        </is>
      </c>
      <c r="J6" s="9" t="inlineStr">
        <is>
          <t xml:space="preserve">https://www.eia.gov/dnav/pet/hist/rwtcm.htm</t>
        </is>
      </c>
    </row>
    <row r="7">
      <c r="A7" s="5">
        <v>44348</v>
      </c>
      <c r="B7" s="8">
        <v>73.16</v>
      </c>
      <c r="C7" s="8">
        <v>71.38</v>
      </c>
      <c r="D7" s="7">
        <f>B7/B6-1</f>
        <v>0.06756165183131468</v>
      </c>
      <c r="E7" s="7">
        <f>C7/C6-1</f>
        <v>0.09528924351695545</v>
      </c>
      <c r="F7" s="8">
        <f>B7-C7</f>
        <v>1.7800000000000011</v>
      </c>
      <c r="I7" s="9" t="inlineStr">
        <is>
          <t xml:space="preserve">https://www.eia.gov/dnav/pet/hist/rbrtem.htm</t>
        </is>
      </c>
      <c r="J7" s="9" t="inlineStr">
        <is>
          <t xml:space="preserve">https://www.eia.gov/dnav/pet/hist/rwtcm.htm</t>
        </is>
      </c>
    </row>
    <row r="8">
      <c r="A8" s="5">
        <v>44378</v>
      </c>
      <c r="B8" s="8">
        <v>75.17</v>
      </c>
      <c r="C8" s="8">
        <v>72.49</v>
      </c>
      <c r="D8" s="7">
        <f>B8/B7-1</f>
        <v>0.027474029524330312</v>
      </c>
      <c r="E8" s="7">
        <f>C8/C7-1</f>
        <v>0.015550574390585492</v>
      </c>
      <c r="F8" s="8">
        <f>B8-C8</f>
        <v>2.680000000000007</v>
      </c>
      <c r="G8" s="7">
        <f>STDEV(D3:D8)*SQRT(Assumptions!$B$9)</f>
        <v>0.16832344629660262</v>
      </c>
      <c r="H8" s="7">
        <f>STDEV(E3:E8)*SQRT(Assumptions!$B$9)</f>
        <v>0.18189298820377417</v>
      </c>
      <c r="I8" s="9" t="inlineStr">
        <is>
          <t xml:space="preserve">https://www.eia.gov/dnav/pet/hist/rbrtem.htm</t>
        </is>
      </c>
      <c r="J8" s="9" t="inlineStr">
        <is>
          <t xml:space="preserve">https://www.eia.gov/dnav/pet/hist/rwtcm.htm</t>
        </is>
      </c>
    </row>
    <row r="9">
      <c r="A9" s="5">
        <v>44409</v>
      </c>
      <c r="B9" s="8">
        <v>70.75</v>
      </c>
      <c r="C9" s="8">
        <v>67.73</v>
      </c>
      <c r="D9" s="7">
        <f>B9/B8-1</f>
        <v>-0.05880005321271786</v>
      </c>
      <c r="E9" s="7">
        <f>C9/C8-1</f>
        <v>-0.06566422954890316</v>
      </c>
      <c r="F9" s="8">
        <f>B9-C9</f>
        <v>3.019999999999996</v>
      </c>
      <c r="G9" s="7">
        <f>STDEV(D4:D9)*SQRT(Assumptions!$B$9)</f>
        <v>0.16725912737325</v>
      </c>
      <c r="H9" s="7">
        <f>STDEV(E4:E9)*SQRT(Assumptions!$B$9)</f>
        <v>0.19813435186333594</v>
      </c>
      <c r="I9" s="9" t="inlineStr">
        <is>
          <t xml:space="preserve">https://www.eia.gov/dnav/pet/hist/rbrtem.htm</t>
        </is>
      </c>
      <c r="J9" s="9" t="inlineStr">
        <is>
          <t xml:space="preserve">https://www.eia.gov/dnav/pet/hist/rwtcm.htm</t>
        </is>
      </c>
    </row>
    <row r="10">
      <c r="A10" s="5">
        <v>44440</v>
      </c>
      <c r="B10" s="8">
        <v>74.49</v>
      </c>
      <c r="C10" s="8">
        <v>71.65</v>
      </c>
      <c r="D10" s="7">
        <f>B10/B9-1</f>
        <v>0.0528621908127207</v>
      </c>
      <c r="E10" s="7">
        <f>C10/C9-1</f>
        <v>0.05787686401889869</v>
      </c>
      <c r="F10" s="8">
        <f>B10-C10</f>
        <v>2.839999999999989</v>
      </c>
      <c r="G10" s="7">
        <f>STDEV(D5:D10)*SQRT(Assumptions!$B$9)</f>
        <v>0.1683356427554723</v>
      </c>
      <c r="H10" s="7">
        <f>STDEV(E5:E10)*SQRT(Assumptions!$B$9)</f>
        <v>0.1989698319839625</v>
      </c>
      <c r="I10" s="9" t="inlineStr">
        <is>
          <t xml:space="preserve">https://www.eia.gov/dnav/pet/hist/rbrtem.htm</t>
        </is>
      </c>
      <c r="J10" s="9" t="inlineStr">
        <is>
          <t xml:space="preserve">https://www.eia.gov/dnav/pet/hist/rwtcm.htm</t>
        </is>
      </c>
    </row>
    <row r="11">
      <c r="A11" s="5">
        <v>44470</v>
      </c>
      <c r="B11" s="8">
        <v>83.54</v>
      </c>
      <c r="C11" s="8">
        <v>81.48</v>
      </c>
      <c r="D11" s="7">
        <f>B11/B10-1</f>
        <v>0.12149281782789645</v>
      </c>
      <c r="E11" s="7">
        <f>C11/C10-1</f>
        <v>0.13719469644103266</v>
      </c>
      <c r="F11" s="8">
        <f>B11-C11</f>
        <v>2.0600000000000023</v>
      </c>
      <c r="G11" s="7">
        <f>STDEV(D6:D11)*SQRT(Assumptions!$B$9)</f>
        <v>0.20585424464224505</v>
      </c>
      <c r="H11" s="7">
        <f>STDEV(E6:E11)*SQRT(Assumptions!$B$9)</f>
        <v>0.24156170454998405</v>
      </c>
      <c r="I11" s="9" t="inlineStr">
        <is>
          <t xml:space="preserve">https://www.eia.gov/dnav/pet/hist/rbrtem.htm</t>
        </is>
      </c>
      <c r="J11" s="9" t="inlineStr">
        <is>
          <t xml:space="preserve">https://www.eia.gov/dnav/pet/hist/rwtcm.htm</t>
        </is>
      </c>
    </row>
    <row r="12">
      <c r="A12" s="5">
        <v>44501</v>
      </c>
      <c r="B12" s="8">
        <v>81.05</v>
      </c>
      <c r="C12" s="8">
        <v>79.15</v>
      </c>
      <c r="D12" s="7">
        <f>B12/B11-1</f>
        <v>-0.029806080919320244</v>
      </c>
      <c r="E12" s="7">
        <f>C12/C11-1</f>
        <v>-0.02859597447226314</v>
      </c>
      <c r="F12" s="8">
        <f>B12-C12</f>
        <v>1.8999999999999915</v>
      </c>
      <c r="G12" s="7">
        <f>STDEV(D7:D12)*SQRT(Assumptions!$B$9)</f>
        <v>0.2285938995275904</v>
      </c>
      <c r="H12" s="7">
        <f>STDEV(E7:E12)*SQRT(Assumptions!$B$9)</f>
        <v>0.2645333730720308</v>
      </c>
      <c r="I12" s="9" t="inlineStr">
        <is>
          <t xml:space="preserve">https://www.eia.gov/dnav/pet/hist/rbrtem.htm</t>
        </is>
      </c>
      <c r="J12" s="9" t="inlineStr">
        <is>
          <t xml:space="preserve">https://www.eia.gov/dnav/pet/hist/rwtcm.htm</t>
        </is>
      </c>
    </row>
    <row r="13">
      <c r="A13" s="5">
        <v>44531</v>
      </c>
      <c r="B13" s="8">
        <v>74.17</v>
      </c>
      <c r="C13" s="8">
        <v>71.71</v>
      </c>
      <c r="D13" s="7">
        <f>B13/B12-1</f>
        <v>-0.0848858729179518</v>
      </c>
      <c r="E13" s="7">
        <f>C13/C12-1</f>
        <v>-0.09399873657612146</v>
      </c>
      <c r="F13" s="8">
        <f>B13-C13</f>
        <v>2.460000000000008</v>
      </c>
      <c r="G13" s="7">
        <f>STDEV(D8:D13)*SQRT(Assumptions!$B$9)</f>
        <v>0.26710612370134174</v>
      </c>
      <c r="H13" s="7">
        <f>STDEV(E8:E13)*SQRT(Assumptions!$B$9)</f>
        <v>0.2951441722984677</v>
      </c>
      <c r="I13" s="9" t="inlineStr">
        <is>
          <t xml:space="preserve">https://www.eia.gov/dnav/pet/hist/rbrtem.htm</t>
        </is>
      </c>
      <c r="J13" s="9" t="inlineStr">
        <is>
          <t xml:space="preserve">https://www.eia.gov/dnav/pet/hist/rwtcm.htm</t>
        </is>
      </c>
    </row>
    <row r="14">
      <c r="A14" s="5">
        <v>44562</v>
      </c>
      <c r="B14" s="8">
        <v>86.51</v>
      </c>
      <c r="C14" s="8">
        <v>83.22</v>
      </c>
      <c r="D14" s="7">
        <f>B14/B13-1</f>
        <v>0.1663745449642713</v>
      </c>
      <c r="E14" s="7">
        <f>C14/C13-1</f>
        <v>0.16050760005578035</v>
      </c>
      <c r="F14" s="8">
        <f>B14-C14</f>
        <v>3.2900000000000063</v>
      </c>
      <c r="G14" s="7">
        <f>STDEV(D9:D14)*SQRT(Assumptions!$B$9)</f>
        <v>0.35369636420759926</v>
      </c>
      <c r="H14" s="7">
        <f>STDEV(E9:E14)*SQRT(Assumptions!$B$9)</f>
        <v>0.3706235170297546</v>
      </c>
      <c r="I14" s="9" t="inlineStr">
        <is>
          <t xml:space="preserve">https://www.eia.gov/dnav/pet/hist/rbrtem.htm</t>
        </is>
      </c>
      <c r="J14" s="9" t="inlineStr">
        <is>
          <t xml:space="preserve">https://www.eia.gov/dnav/pet/hist/rwtcm.htm</t>
        </is>
      </c>
    </row>
    <row r="15">
      <c r="A15" s="5">
        <v>44593</v>
      </c>
      <c r="B15" s="8">
        <v>97.13</v>
      </c>
      <c r="C15" s="8">
        <v>91.64</v>
      </c>
      <c r="D15" s="7">
        <f>B15/B14-1</f>
        <v>0.12276037452317645</v>
      </c>
      <c r="E15" s="7">
        <f>C15/C14-1</f>
        <v>0.10117760153809185</v>
      </c>
      <c r="F15" s="8">
        <f>B15-C15</f>
        <v>5.489999999999995</v>
      </c>
      <c r="G15" s="7">
        <f>STDEV(D10:D15)*SQRT(Assumptions!$B$9)</f>
        <v>0.3398453442459029</v>
      </c>
      <c r="H15" s="7">
        <f>STDEV(E10:E15)*SQRT(Assumptions!$B$9)</f>
        <v>0.3436783113114138</v>
      </c>
      <c r="I15" s="9" t="inlineStr">
        <is>
          <t xml:space="preserve">https://www.eia.gov/dnav/pet/hist/rbrtem.htm</t>
        </is>
      </c>
      <c r="J15" s="9" t="inlineStr">
        <is>
          <t xml:space="preserve">https://www.eia.gov/dnav/pet/hist/rwtcm.htm</t>
        </is>
      </c>
    </row>
    <row r="16">
      <c r="A16" s="5">
        <v>44621</v>
      </c>
      <c r="B16" s="8">
        <v>117.25</v>
      </c>
      <c r="C16" s="8">
        <v>108.5</v>
      </c>
      <c r="D16" s="7">
        <f>B16/B15-1</f>
        <v>0.20714506331720384</v>
      </c>
      <c r="E16" s="7">
        <f>C16/C15-1</f>
        <v>0.18398079441292015</v>
      </c>
      <c r="F16" s="8">
        <f>B16-C16</f>
        <v>8.75</v>
      </c>
      <c r="G16" s="7">
        <f>STDEV(D11:D16)*SQRT(Assumptions!$B$9)</f>
        <v>0.398996155222657</v>
      </c>
      <c r="H16" s="7">
        <f>STDEV(E11:E16)*SQRT(Assumptions!$B$9)</f>
        <v>0.3888967291238657</v>
      </c>
      <c r="I16" s="9" t="inlineStr">
        <is>
          <t xml:space="preserve">https://www.eia.gov/dnav/pet/hist/rbrtem.htm</t>
        </is>
      </c>
      <c r="J16" s="9" t="inlineStr">
        <is>
          <t xml:space="preserve">https://www.eia.gov/dnav/pet/hist/rwtcm.htm</t>
        </is>
      </c>
    </row>
    <row r="17">
      <c r="A17" s="5">
        <v>44652</v>
      </c>
      <c r="B17" s="8">
        <v>104.58</v>
      </c>
      <c r="C17" s="8">
        <v>101.78</v>
      </c>
      <c r="D17" s="7">
        <f>B17/B16-1</f>
        <v>-0.1080597014925373</v>
      </c>
      <c r="E17" s="7">
        <f>C17/C16-1</f>
        <v>-0.0619354838709677</v>
      </c>
      <c r="F17" s="8">
        <f>B17-C17</f>
        <v>2.799999999999997</v>
      </c>
      <c r="G17" s="7">
        <f>STDEV(D12:D17)*SQRT(Assumptions!$B$9)</f>
        <v>0.4723413121904909</v>
      </c>
      <c r="H17" s="7">
        <f>STDEV(E12:E17)*SQRT(Assumptions!$B$9)</f>
        <v>0.4156134013319672</v>
      </c>
      <c r="I17" s="9" t="inlineStr">
        <is>
          <t xml:space="preserve">https://www.eia.gov/dnav/pet/hist/rbrtem.htm</t>
        </is>
      </c>
      <c r="J17" s="9" t="inlineStr">
        <is>
          <t xml:space="preserve">https://www.eia.gov/dnav/pet/hist/rwtcm.htm</t>
        </is>
      </c>
    </row>
    <row r="18">
      <c r="A18" s="5">
        <v>44682</v>
      </c>
      <c r="B18" s="8">
        <v>113.34</v>
      </c>
      <c r="C18" s="8">
        <v>109.55</v>
      </c>
      <c r="D18" s="7">
        <f>B18/B17-1</f>
        <v>0.08376362593230069</v>
      </c>
      <c r="E18" s="7">
        <f>C18/C17-1</f>
        <v>0.0763411279229711</v>
      </c>
      <c r="F18" s="8">
        <f>B18-C18</f>
        <v>3.7900000000000063</v>
      </c>
      <c r="G18" s="7">
        <f>STDEV(D13:D18)*SQRT(Assumptions!$B$9)</f>
        <v>0.4558536173701834</v>
      </c>
      <c r="H18" s="7">
        <f>STDEV(E13:E18)*SQRT(Assumptions!$B$9)</f>
        <v>0.3980352812007295</v>
      </c>
      <c r="I18" s="9" t="inlineStr">
        <is>
          <t xml:space="preserve">https://www.eia.gov/dnav/pet/hist/rbrtem.htm</t>
        </is>
      </c>
      <c r="J18" s="9" t="inlineStr">
        <is>
          <t xml:space="preserve">https://www.eia.gov/dnav/pet/hist/rwtcm.htm</t>
        </is>
      </c>
    </row>
    <row r="19">
      <c r="A19" s="5">
        <v>44713</v>
      </c>
      <c r="B19" s="8">
        <v>122.71</v>
      </c>
      <c r="C19" s="8">
        <v>114.84</v>
      </c>
      <c r="D19" s="7">
        <f>B19/B18-1</f>
        <v>0.08267160755249692</v>
      </c>
      <c r="E19" s="7">
        <f>C19/C18-1</f>
        <v>0.04828845276129634</v>
      </c>
      <c r="F19" s="8">
        <f>B19-C19</f>
        <v>7.86999999999999</v>
      </c>
      <c r="G19" s="7">
        <f>STDEV(D14:D19)*SQRT(Assumptions!$B$9)</f>
        <v>0.37920039499141694</v>
      </c>
      <c r="H19" s="7">
        <f>STDEV(E14:E19)*SQRT(Assumptions!$B$9)</f>
        <v>0.30504797822413415</v>
      </c>
      <c r="I19" s="9" t="inlineStr">
        <is>
          <t xml:space="preserve">https://www.eia.gov/dnav/pet/hist/rbrtem.htm</t>
        </is>
      </c>
      <c r="J19" s="9" t="inlineStr">
        <is>
          <t xml:space="preserve">https://www.eia.gov/dnav/pet/hist/rwtcm.htm</t>
        </is>
      </c>
    </row>
    <row r="20">
      <c r="A20" s="5">
        <v>44743</v>
      </c>
      <c r="B20" s="8">
        <v>111.93</v>
      </c>
      <c r="C20" s="8">
        <v>101.62</v>
      </c>
      <c r="D20" s="7">
        <f>B20/B19-1</f>
        <v>-0.08784940102681105</v>
      </c>
      <c r="E20" s="7">
        <f>C20/C19-1</f>
        <v>-0.11511668408220133</v>
      </c>
      <c r="F20" s="8">
        <f>B20-C20</f>
        <v>10.310000000000002</v>
      </c>
      <c r="G20" s="7">
        <f>STDEV(D15:D20)*SQRT(Assumptions!$B$9)</f>
        <v>0.42759238990226145</v>
      </c>
      <c r="H20" s="7">
        <f>STDEV(E15:E20)*SQRT(Assumptions!$B$9)</f>
        <v>0.3804390450761889</v>
      </c>
      <c r="I20" s="9" t="inlineStr">
        <is>
          <t xml:space="preserve">https://www.eia.gov/dnav/pet/hist/rbrtem.htm</t>
        </is>
      </c>
      <c r="J20" s="9" t="inlineStr">
        <is>
          <t xml:space="preserve">https://www.eia.gov/dnav/pet/hist/rwtcm.htm</t>
        </is>
      </c>
    </row>
    <row r="21">
      <c r="A21" s="5">
        <v>44774</v>
      </c>
      <c r="B21" s="8">
        <v>100.45</v>
      </c>
      <c r="C21" s="8">
        <v>93.67</v>
      </c>
      <c r="D21" s="7">
        <f>B21/B20-1</f>
        <v>-0.10256410256410264</v>
      </c>
      <c r="E21" s="7">
        <f>C21/C20-1</f>
        <v>-0.07823263137177727</v>
      </c>
      <c r="F21" s="8">
        <f>B21-C21</f>
        <v>6.780000000000001</v>
      </c>
      <c r="G21" s="7">
        <f>STDEV(D16:D21)*SQRT(Assumptions!$B$9)</f>
        <v>0.4536085958421808</v>
      </c>
      <c r="H21" s="7">
        <f>STDEV(E16:E21)*SQRT(Assumptions!$B$9)</f>
        <v>0.3941865713125145</v>
      </c>
      <c r="I21" s="9" t="inlineStr">
        <is>
          <t xml:space="preserve">https://www.eia.gov/dnav/pet/hist/rbrtem.htm</t>
        </is>
      </c>
      <c r="J21" s="9" t="inlineStr">
        <is>
          <t xml:space="preserve">https://www.eia.gov/dnav/pet/hist/rwtcm.htm</t>
        </is>
      </c>
    </row>
    <row r="22">
      <c r="A22" s="5">
        <v>44805</v>
      </c>
      <c r="B22" s="8">
        <v>89.76</v>
      </c>
      <c r="C22" s="8">
        <v>84.26</v>
      </c>
      <c r="D22" s="7">
        <f>B22/B21-1</f>
        <v>-0.10642110502737678</v>
      </c>
      <c r="E22" s="7">
        <f>C22/C21-1</f>
        <v>-0.10045905839649827</v>
      </c>
      <c r="F22" s="8">
        <f>B22-C22</f>
        <v>5.5</v>
      </c>
      <c r="G22" s="7">
        <f>STDEV(D17:D22)*SQRT(Assumptions!$B$9)</f>
        <v>0.3308646161723702</v>
      </c>
      <c r="H22" s="7">
        <f>STDEV(E17:E22)*SQRT(Assumptions!$B$9)</f>
        <v>0.2795324515654133</v>
      </c>
      <c r="I22" s="9" t="inlineStr">
        <is>
          <t xml:space="preserve">https://www.eia.gov/dnav/pet/hist/rbrtem.htm</t>
        </is>
      </c>
      <c r="J22" s="9" t="inlineStr">
        <is>
          <t xml:space="preserve">https://www.eia.gov/dnav/pet/hist/rwtcm.htm</t>
        </is>
      </c>
    </row>
    <row r="23">
      <c r="A23" s="5">
        <v>44835</v>
      </c>
      <c r="B23" s="8">
        <v>93.33</v>
      </c>
      <c r="C23" s="8">
        <v>87.55</v>
      </c>
      <c r="D23" s="7">
        <f>B23/B22-1</f>
        <v>0.03977272727272729</v>
      </c>
      <c r="E23" s="7">
        <f>C23/C22-1</f>
        <v>0.03904581058628054</v>
      </c>
      <c r="F23" s="8">
        <f>B23-C23</f>
        <v>5.780000000000001</v>
      </c>
      <c r="G23" s="7">
        <f>STDEV(D18:D23)*SQRT(Assumptions!$B$9)</f>
        <v>0.3235786470077475</v>
      </c>
      <c r="H23" s="7">
        <f>STDEV(E18:E23)*SQRT(Assumptions!$B$9)</f>
        <v>0.2952670801581152</v>
      </c>
      <c r="I23" s="9" t="inlineStr">
        <is>
          <t xml:space="preserve">https://www.eia.gov/dnav/pet/hist/rbrtem.htm</t>
        </is>
      </c>
      <c r="J23" s="9" t="inlineStr">
        <is>
          <t xml:space="preserve">https://www.eia.gov/dnav/pet/hist/rwtcm.htm</t>
        </is>
      </c>
    </row>
    <row r="24">
      <c r="A24" s="5">
        <v>44866</v>
      </c>
      <c r="B24" s="8">
        <v>91.42</v>
      </c>
      <c r="C24" s="8">
        <v>84.37</v>
      </c>
      <c r="D24" s="7">
        <f>B24/B23-1</f>
        <v>-0.02046501660773592</v>
      </c>
      <c r="E24" s="7">
        <f>C24/C23-1</f>
        <v>-0.036322101656196426</v>
      </c>
      <c r="F24" s="8">
        <f>B24-C24</f>
        <v>7.049999999999997</v>
      </c>
      <c r="G24" s="7">
        <f>STDEV(D19:D24)*SQRT(Assumptions!$B$9)</f>
        <v>0.2774291176904692</v>
      </c>
      <c r="H24" s="7">
        <f>STDEV(E19:E24)*SQRT(Assumptions!$B$9)</f>
        <v>0.24404030619233374</v>
      </c>
      <c r="I24" s="9" t="inlineStr">
        <is>
          <t xml:space="preserve">https://www.eia.gov/dnav/pet/hist/rbrtem.htm</t>
        </is>
      </c>
      <c r="J24" s="9" t="inlineStr">
        <is>
          <t xml:space="preserve">https://www.eia.gov/dnav/pet/hist/rwtcm.htm</t>
        </is>
      </c>
    </row>
    <row r="25">
      <c r="A25" s="5">
        <v>44896</v>
      </c>
      <c r="B25" s="8">
        <v>80.92</v>
      </c>
      <c r="C25" s="8">
        <v>76.44</v>
      </c>
      <c r="D25" s="7">
        <f>B25/B24-1</f>
        <v>-0.11485451761102605</v>
      </c>
      <c r="E25" s="7">
        <f>C25/C24-1</f>
        <v>-0.09399075500770426</v>
      </c>
      <c r="F25" s="8">
        <f>B25-C25</f>
        <v>4.480000000000004</v>
      </c>
      <c r="G25" s="7">
        <f>STDEV(D20:D25)*SQRT(Assumptions!$B$9)</f>
        <v>0.2140696058718121</v>
      </c>
      <c r="H25" s="7">
        <f>STDEV(E20:E25)*SQRT(Assumptions!$B$9)</f>
        <v>0.1985658816243664</v>
      </c>
      <c r="I25" s="9" t="inlineStr">
        <is>
          <t xml:space="preserve">https://www.eia.gov/dnav/pet/hist/rbrtem.htm</t>
        </is>
      </c>
      <c r="J25" s="9" t="inlineStr">
        <is>
          <t xml:space="preserve">https://www.eia.gov/dnav/pet/hist/rwtcm.htm</t>
        </is>
      </c>
    </row>
    <row r="26">
      <c r="A26" s="5">
        <v>44927</v>
      </c>
      <c r="B26" s="8">
        <v>82.5</v>
      </c>
      <c r="C26" s="8">
        <v>78.12</v>
      </c>
      <c r="D26" s="7">
        <f>B26/B25-1</f>
        <v>0.01952545724172028</v>
      </c>
      <c r="E26" s="7">
        <f>C26/C25-1</f>
        <v>0.021978021978022122</v>
      </c>
      <c r="F26" s="8">
        <f>B26-C26</f>
        <v>4.3799999999999955</v>
      </c>
      <c r="G26" s="7">
        <f>STDEV(D21:D26)*SQRT(Assumptions!$B$9)</f>
        <v>0.2394003218814194</v>
      </c>
      <c r="H26" s="7">
        <f>STDEV(E21:E26)*SQRT(Assumptions!$B$9)</f>
        <v>0.20856343200230024</v>
      </c>
      <c r="I26" s="9" t="inlineStr">
        <is>
          <t xml:space="preserve">https://www.eia.gov/dnav/pet/hist/rbrtem.htm</t>
        </is>
      </c>
      <c r="J26" s="9" t="inlineStr">
        <is>
          <t xml:space="preserve">https://www.eia.gov/dnav/pet/hist/rwtcm.htm</t>
        </is>
      </c>
    </row>
    <row r="27">
      <c r="A27" s="5">
        <v>44958</v>
      </c>
      <c r="B27" s="8">
        <v>82.59</v>
      </c>
      <c r="C27" s="8">
        <v>76.83</v>
      </c>
      <c r="D27" s="7">
        <f>B27/B26-1</f>
        <v>0.0010909090909090313</v>
      </c>
      <c r="E27" s="7">
        <f>C27/C26-1</f>
        <v>-0.01651305683563753</v>
      </c>
      <c r="F27" s="8">
        <f>B27-C27</f>
        <v>5.760000000000005</v>
      </c>
      <c r="G27" s="7">
        <f>STDEV(D22:D27)*SQRT(Assumptions!$B$9)</f>
        <v>0.22672662796840354</v>
      </c>
      <c r="H27" s="7">
        <f>STDEV(E22:E27)*SQRT(Assumptions!$B$9)</f>
        <v>0.20046147156492444</v>
      </c>
      <c r="I27" s="9" t="inlineStr">
        <is>
          <t xml:space="preserve">https://www.eia.gov/dnav/pet/hist/rbrtem.htm</t>
        </is>
      </c>
      <c r="J27" s="9" t="inlineStr">
        <is>
          <t xml:space="preserve">https://www.eia.gov/dnav/pet/hist/rwtcm.htm</t>
        </is>
      </c>
    </row>
    <row r="28">
      <c r="A28" s="5">
        <v>44986</v>
      </c>
      <c r="B28" s="8">
        <v>78.43</v>
      </c>
      <c r="C28" s="8">
        <v>73.28</v>
      </c>
      <c r="D28" s="7">
        <f>B28/B27-1</f>
        <v>-0.050369294103402296</v>
      </c>
      <c r="E28" s="7">
        <f>C28/C27-1</f>
        <v>-0.0462059091500715</v>
      </c>
      <c r="F28" s="8">
        <f>B28-C28</f>
        <v>5.150000000000006</v>
      </c>
      <c r="G28" s="7">
        <f>STDEV(D23:D28)*SQRT(Assumptions!$B$9)</f>
        <v>0.19284237534356183</v>
      </c>
      <c r="H28" s="7">
        <f>STDEV(E23:E28)*SQRT(Assumptions!$B$9)</f>
        <v>0.16731633308505447</v>
      </c>
      <c r="I28" s="9" t="inlineStr">
        <is>
          <t xml:space="preserve">https://www.eia.gov/dnav/pet/hist/rbrtem.htm</t>
        </is>
      </c>
      <c r="J28" s="9" t="inlineStr">
        <is>
          <t xml:space="preserve">https://www.eia.gov/dnav/pet/hist/rwtcm.htm</t>
        </is>
      </c>
    </row>
    <row r="29">
      <c r="A29" s="5">
        <v>45017</v>
      </c>
      <c r="B29" s="8">
        <v>84.64</v>
      </c>
      <c r="C29" s="8">
        <v>79.45</v>
      </c>
      <c r="D29" s="7">
        <f>B29/B28-1</f>
        <v>0.07917888563049846</v>
      </c>
      <c r="E29" s="7">
        <f>C29/C28-1</f>
        <v>0.08419759825327522</v>
      </c>
      <c r="F29" s="8">
        <f>B29-C29</f>
        <v>5.189999999999998</v>
      </c>
      <c r="G29" s="7">
        <f>STDEV(D24:D29)*SQRT(Assumptions!$B$9)</f>
        <v>0.22752347391035113</v>
      </c>
      <c r="H29" s="7">
        <f>STDEV(E24:E29)*SQRT(Assumptions!$B$9)</f>
        <v>0.21284450587608347</v>
      </c>
      <c r="I29" s="9" t="inlineStr">
        <is>
          <t xml:space="preserve">https://www.eia.gov/dnav/pet/hist/rbrtem.htm</t>
        </is>
      </c>
      <c r="J29" s="9" t="inlineStr">
        <is>
          <t xml:space="preserve">https://www.eia.gov/dnav/pet/hist/rwtcm.htm</t>
        </is>
      </c>
    </row>
    <row r="30">
      <c r="A30" s="5">
        <v>45047</v>
      </c>
      <c r="B30" s="8">
        <v>75.47</v>
      </c>
      <c r="C30" s="8">
        <v>71.58</v>
      </c>
      <c r="D30" s="7">
        <f>B30/B29-1</f>
        <v>-0.10834120982986772</v>
      </c>
      <c r="E30" s="7">
        <f>C30/C29-1</f>
        <v>-0.09905601006922593</v>
      </c>
      <c r="F30" s="8">
        <f>B30-C30</f>
        <v>3.8900000000000006</v>
      </c>
      <c r="G30" s="7">
        <f>STDEV(D25:D30)*SQRT(Assumptions!$B$9)</f>
        <v>0.26420681796343254</v>
      </c>
      <c r="H30" s="7">
        <f>STDEV(E25:E30)*SQRT(Assumptions!$B$9)</f>
        <v>0.24444266912039084</v>
      </c>
      <c r="I30" s="9" t="inlineStr">
        <is>
          <t xml:space="preserve">https://www.eia.gov/dnav/pet/hist/rbrtem.htm</t>
        </is>
      </c>
      <c r="J30" s="9" t="inlineStr">
        <is>
          <t xml:space="preserve">https://www.eia.gov/dnav/pet/hist/rwtcm.htm</t>
        </is>
      </c>
    </row>
    <row r="31">
      <c r="A31" s="5">
        <v>45078</v>
      </c>
      <c r="B31" s="8">
        <v>74.84</v>
      </c>
      <c r="C31" s="8">
        <v>70.25</v>
      </c>
      <c r="D31" s="7">
        <f>B31/B30-1</f>
        <v>-0.008347687822975902</v>
      </c>
      <c r="E31" s="7">
        <f>C31/C30-1</f>
        <v>-0.018580609108689528</v>
      </c>
      <c r="F31" s="8">
        <f>B31-C31</f>
        <v>4.590000000000003</v>
      </c>
      <c r="G31" s="7">
        <f>STDEV(D26:D31)*SQRT(Assumptions!$B$9)</f>
        <v>0.22041186760658407</v>
      </c>
      <c r="H31" s="7">
        <f>STDEV(E26:E31)*SQRT(Assumptions!$B$9)</f>
        <v>0.21477517763979506</v>
      </c>
      <c r="I31" s="9" t="inlineStr">
        <is>
          <t xml:space="preserve">https://www.eia.gov/dnav/pet/hist/rbrtem.htm</t>
        </is>
      </c>
      <c r="J31" s="9" t="inlineStr">
        <is>
          <t xml:space="preserve">https://www.eia.gov/dnav/pet/hist/rwtcm.htm</t>
        </is>
      </c>
    </row>
    <row r="32">
      <c r="A32" s="5">
        <v>45108</v>
      </c>
      <c r="B32" s="8">
        <v>80.11</v>
      </c>
      <c r="C32" s="8">
        <v>76.07</v>
      </c>
      <c r="D32" s="7">
        <f>B32/B31-1</f>
        <v>0.0704168893639765</v>
      </c>
      <c r="E32" s="7">
        <f>C32/C31-1</f>
        <v>0.08284697508896777</v>
      </c>
      <c r="F32" s="8">
        <f>B32-C32</f>
        <v>4.040000000000006</v>
      </c>
      <c r="G32" s="7">
        <f>STDEV(D27:D32)*SQRT(Assumptions!$B$9)</f>
        <v>0.24752658380380316</v>
      </c>
      <c r="H32" s="7">
        <f>STDEV(E27:E32)*SQRT(Assumptions!$B$9)</f>
        <v>0.25213484763127836</v>
      </c>
      <c r="I32" s="9" t="inlineStr">
        <is>
          <t xml:space="preserve">https://www.eia.gov/dnav/pet/hist/rbrtem.htm</t>
        </is>
      </c>
      <c r="J32" s="9" t="inlineStr">
        <is>
          <t xml:space="preserve">https://www.eia.gov/dnav/pet/hist/rwtcm.htm</t>
        </is>
      </c>
    </row>
    <row r="33">
      <c r="A33" s="5">
        <v>45139</v>
      </c>
      <c r="B33" s="8">
        <v>86.15</v>
      </c>
      <c r="C33" s="8">
        <v>81.39</v>
      </c>
      <c r="D33" s="7">
        <f>B33/B32-1</f>
        <v>0.07539633004618662</v>
      </c>
      <c r="E33" s="7">
        <f>C33/C32-1</f>
        <v>0.06993558564480096</v>
      </c>
      <c r="F33" s="8">
        <f>B33-C33</f>
        <v>4.760000000000005</v>
      </c>
      <c r="G33" s="7">
        <f>STDEV(D28:D33)*SQRT(Assumptions!$B$9)</f>
        <v>0.27143007290251175</v>
      </c>
      <c r="H33" s="7">
        <f>STDEV(E28:E33)*SQRT(Assumptions!$B$9)</f>
        <v>0.26942000968966945</v>
      </c>
      <c r="I33" s="9" t="inlineStr">
        <is>
          <t xml:space="preserve">https://www.eia.gov/dnav/pet/hist/rbrtem.htm</t>
        </is>
      </c>
      <c r="J33" s="9" t="inlineStr">
        <is>
          <t xml:space="preserve">https://www.eia.gov/dnav/pet/hist/rwtcm.htm</t>
        </is>
      </c>
    </row>
    <row r="34">
      <c r="A34" s="5">
        <v>45170</v>
      </c>
      <c r="B34" s="8">
        <v>93.72</v>
      </c>
      <c r="C34" s="8">
        <v>89.43</v>
      </c>
      <c r="D34" s="7">
        <f>B34/B33-1</f>
        <v>0.08786999419616937</v>
      </c>
      <c r="E34" s="7">
        <f>C34/C33-1</f>
        <v>0.09878363435311477</v>
      </c>
      <c r="F34" s="8">
        <f>B34-C34</f>
        <v>4.289999999999992</v>
      </c>
      <c r="G34" s="7">
        <f>STDEV(D29:D34)*SQRT(Assumptions!$B$9)</f>
        <v>0.26844928387146083</v>
      </c>
      <c r="H34" s="7">
        <f>STDEV(E29:E34)*SQRT(Assumptions!$B$9)</f>
        <v>0.27201237120184096</v>
      </c>
      <c r="I34" s="9" t="inlineStr">
        <is>
          <t xml:space="preserve">https://www.eia.gov/dnav/pet/hist/rbrtem.htm</t>
        </is>
      </c>
      <c r="J34" s="9" t="inlineStr">
        <is>
          <t xml:space="preserve">https://www.eia.gov/dnav/pet/hist/rwtcm.htm</t>
        </is>
      </c>
    </row>
    <row r="35">
      <c r="A35" s="5">
        <v>45200</v>
      </c>
      <c r="B35" s="8">
        <v>90.6</v>
      </c>
      <c r="C35" s="8">
        <v>85.64</v>
      </c>
      <c r="D35" s="7">
        <f>B35/B34-1</f>
        <v>-0.033290653008962945</v>
      </c>
      <c r="E35" s="7">
        <f>C35/C34-1</f>
        <v>-0.042379514704238064</v>
      </c>
      <c r="F35" s="8">
        <f>B35-C35</f>
        <v>4.959999999999994</v>
      </c>
      <c r="G35" s="7">
        <f>STDEV(D30:D35)*SQRT(Assumptions!$B$9)</f>
        <v>0.26883005542207145</v>
      </c>
      <c r="H35" s="7">
        <f>STDEV(E30:E35)*SQRT(Assumptions!$B$9)</f>
        <v>0.2774279019191955</v>
      </c>
      <c r="I35" s="9" t="inlineStr">
        <is>
          <t xml:space="preserve">https://www.eia.gov/dnav/pet/hist/rbrtem.htm</t>
        </is>
      </c>
      <c r="J35" s="9" t="inlineStr">
        <is>
          <t xml:space="preserve">https://www.eia.gov/dnav/pet/hist/rwtcm.htm</t>
        </is>
      </c>
    </row>
    <row r="36">
      <c r="A36" s="5">
        <v>45231</v>
      </c>
      <c r="B36" s="8">
        <v>82.94</v>
      </c>
      <c r="C36" s="8">
        <v>77.69</v>
      </c>
      <c r="D36" s="7">
        <f>B36/B35-1</f>
        <v>-0.08454746136865343</v>
      </c>
      <c r="E36" s="7">
        <f>C36/C35-1</f>
        <v>-0.09283045305931814</v>
      </c>
      <c r="F36" s="8">
        <f>B36-C36</f>
        <v>5.25</v>
      </c>
      <c r="G36" s="7">
        <f>STDEV(D31:D36)*SQRT(Assumptions!$B$9)</f>
        <v>0.24379281313105844</v>
      </c>
      <c r="H36" s="7">
        <f>STDEV(E31:E36)*SQRT(Assumptions!$B$9)</f>
        <v>0.2713443151449716</v>
      </c>
      <c r="I36" s="9" t="inlineStr">
        <is>
          <t xml:space="preserve">https://www.eia.gov/dnav/pet/hist/rbrtem.htm</t>
        </is>
      </c>
      <c r="J36" s="9" t="inlineStr">
        <is>
          <t xml:space="preserve">https://www.eia.gov/dnav/pet/hist/rwtcm.htm</t>
        </is>
      </c>
    </row>
    <row r="37">
      <c r="A37" s="5">
        <v>45261</v>
      </c>
      <c r="B37" s="8">
        <v>77.63</v>
      </c>
      <c r="C37" s="8">
        <v>71.9</v>
      </c>
      <c r="D37" s="7">
        <f>B37/B36-1</f>
        <v>-0.06402218471183996</v>
      </c>
      <c r="E37" s="7">
        <f>C37/C36-1</f>
        <v>-0.0745269661475092</v>
      </c>
      <c r="F37" s="8">
        <f>B37-C37</f>
        <v>5.72999999999999</v>
      </c>
      <c r="G37" s="7">
        <f>STDEV(D32:D37)*SQRT(Assumptions!$B$9)</f>
        <v>0.2695420974805398</v>
      </c>
      <c r="H37" s="7">
        <f>STDEV(E32:E37)*SQRT(Assumptions!$B$9)</f>
        <v>0.298753346906967</v>
      </c>
      <c r="I37" s="9" t="inlineStr">
        <is>
          <t xml:space="preserve">https://www.eia.gov/dnav/pet/hist/rbrtem.htm</t>
        </is>
      </c>
      <c r="J37" s="9" t="inlineStr">
        <is>
          <t xml:space="preserve">https://www.eia.gov/dnav/pet/hist/rwtcm.htm</t>
        </is>
      </c>
    </row>
    <row r="38">
      <c r="A38" s="5">
        <v>45292</v>
      </c>
      <c r="B38" s="8">
        <v>80.12</v>
      </c>
      <c r="C38" s="8">
        <v>74.15</v>
      </c>
      <c r="D38" s="7">
        <f>B38/B37-1</f>
        <v>0.03207522864871848</v>
      </c>
      <c r="E38" s="7">
        <f>C38/C37-1</f>
        <v>0.03129346314325443</v>
      </c>
      <c r="F38" s="8">
        <f>B38-C38</f>
        <v>5.969999999999999</v>
      </c>
      <c r="G38" s="7">
        <f>STDEV(D33:D38)*SQRT(Assumptions!$B$9)</f>
        <v>0.25342290185497934</v>
      </c>
      <c r="H38" s="7">
        <f>STDEV(E33:E38)*SQRT(Assumptions!$B$9)</f>
        <v>0.2753056403943823</v>
      </c>
      <c r="I38" s="9" t="inlineStr">
        <is>
          <t xml:space="preserve">https://www.eia.gov/dnav/pet/hist/rbrtem.htm</t>
        </is>
      </c>
      <c r="J38" s="9" t="inlineStr">
        <is>
          <t xml:space="preserve">https://www.eia.gov/dnav/pet/hist/rwtcm.htm</t>
        </is>
      </c>
    </row>
    <row r="39">
      <c r="A39" s="5">
        <v>45323</v>
      </c>
      <c r="B39" s="8">
        <v>83.48</v>
      </c>
      <c r="C39" s="8">
        <v>77.25</v>
      </c>
      <c r="D39" s="7">
        <f>B39/B38-1</f>
        <v>0.04193709435846227</v>
      </c>
      <c r="E39" s="7">
        <f>C39/C38-1</f>
        <v>0.04180714767363436</v>
      </c>
      <c r="F39" s="8">
        <f>B39-C39</f>
        <v>6.230000000000004</v>
      </c>
      <c r="G39" s="7">
        <f>STDEV(D34:D39)*SQRT(Assumptions!$B$9)</f>
        <v>0.23391042918014637</v>
      </c>
      <c r="H39" s="7">
        <f>STDEV(E34:E39)*SQRT(Assumptions!$B$9)</f>
        <v>0.26021977852058303</v>
      </c>
      <c r="I39" s="9" t="inlineStr">
        <is>
          <t xml:space="preserve">https://www.eia.gov/dnav/pet/hist/rbrtem.htm</t>
        </is>
      </c>
      <c r="J39" s="9" t="inlineStr">
        <is>
          <t xml:space="preserve">https://www.eia.gov/dnav/pet/hist/rwtcm.htm</t>
        </is>
      </c>
    </row>
    <row r="40">
      <c r="A40" s="5">
        <v>45352</v>
      </c>
      <c r="B40" s="8">
        <v>85.41</v>
      </c>
      <c r="C40" s="8">
        <v>81.28</v>
      </c>
      <c r="D40" s="7">
        <f>B40/B39-1</f>
        <v>0.023119310014374506</v>
      </c>
      <c r="E40" s="7">
        <f>C40/C39-1</f>
        <v>0.05216828478964408</v>
      </c>
      <c r="F40" s="8">
        <f>B40-C40</f>
        <v>4.1299999999999955</v>
      </c>
      <c r="G40" s="7">
        <f>STDEV(D35:D40)*SQRT(Assumptions!$B$9)</f>
        <v>0.1864248854608546</v>
      </c>
      <c r="H40" s="7">
        <f>STDEV(E35:E40)*SQRT(Assumptions!$B$9)</f>
        <v>0.2203304341342486</v>
      </c>
      <c r="I40" s="9" t="inlineStr">
        <is>
          <t xml:space="preserve">https://www.eia.gov/dnav/pet/hist/rbrtem.htm</t>
        </is>
      </c>
      <c r="J40" s="9" t="inlineStr">
        <is>
          <t xml:space="preserve">https://www.eia.gov/dnav/pet/hist/rwtcm.htm</t>
        </is>
      </c>
    </row>
    <row r="41">
      <c r="A41" s="5">
        <v>45383</v>
      </c>
      <c r="B41" s="8">
        <v>89.94</v>
      </c>
      <c r="C41" s="8">
        <v>85.35</v>
      </c>
      <c r="D41" s="7">
        <f>B41/B40-1</f>
        <v>0.05303828591499826</v>
      </c>
      <c r="E41" s="7">
        <f>C41/C40-1</f>
        <v>0.050073818897637734</v>
      </c>
      <c r="F41" s="8">
        <f>B41-C41</f>
        <v>4.590000000000003</v>
      </c>
      <c r="G41" s="7">
        <f>STDEV(D36:D41)*SQRT(Assumptions!$B$9)</f>
        <v>0.20424566967100333</v>
      </c>
      <c r="H41" s="7">
        <f>STDEV(E36:E41)*SQRT(Assumptions!$B$9)</f>
        <v>0.23039359322954836</v>
      </c>
      <c r="I41" s="9" t="inlineStr">
        <is>
          <t xml:space="preserve">https://www.eia.gov/dnav/pet/hist/rbrtem.htm</t>
        </is>
      </c>
      <c r="J41" s="9" t="inlineStr">
        <is>
          <t xml:space="preserve">https://www.eia.gov/dnav/pet/hist/rwtcm.htm</t>
        </is>
      </c>
    </row>
    <row r="42">
      <c r="A42" s="5">
        <v>45413</v>
      </c>
      <c r="B42" s="8">
        <v>81.75</v>
      </c>
      <c r="C42" s="8">
        <v>80.02</v>
      </c>
      <c r="D42" s="7">
        <f>B42/B41-1</f>
        <v>-0.091060707138092</v>
      </c>
      <c r="E42" s="7">
        <f>C42/C41-1</f>
        <v>-0.062448740480374965</v>
      </c>
      <c r="F42" s="8">
        <f>B42-C42</f>
        <v>1.730000000000004</v>
      </c>
      <c r="G42" s="7">
        <f>STDEV(D37:D42)*SQRT(Assumptions!$B$9)</f>
        <v>0.21083816778030517</v>
      </c>
      <c r="H42" s="7">
        <f>STDEV(E37:E42)*SQRT(Assumptions!$B$9)</f>
        <v>0.20296686447298234</v>
      </c>
      <c r="I42" s="9" t="inlineStr">
        <is>
          <t xml:space="preserve">https://www.eia.gov/dnav/pet/hist/rbrtem.htm</t>
        </is>
      </c>
      <c r="J42" s="9" t="inlineStr">
        <is>
          <t xml:space="preserve">https://www.eia.gov/dnav/pet/hist/rwtcm.htm</t>
        </is>
      </c>
    </row>
    <row r="43">
      <c r="A43" s="5">
        <v>45444</v>
      </c>
      <c r="B43" s="8">
        <v>82.25</v>
      </c>
      <c r="C43" s="8">
        <v>79.77</v>
      </c>
      <c r="D43" s="7">
        <f>B43/B42-1</f>
        <v>0.006116207951070374</v>
      </c>
      <c r="E43" s="7">
        <f>C43/C42-1</f>
        <v>-0.0031242189452637126</v>
      </c>
      <c r="F43" s="8">
        <f>B43-C43</f>
        <v>2.480000000000004</v>
      </c>
      <c r="G43" s="7">
        <f>STDEV(D38:D43)*SQRT(Assumptions!$B$9)</f>
        <v>0.18169537318300424</v>
      </c>
      <c r="H43" s="7">
        <f>STDEV(E38:E43)*SQRT(Assumptions!$B$9)</f>
        <v>0.153810858802048</v>
      </c>
      <c r="I43" s="9" t="inlineStr">
        <is>
          <t xml:space="preserve">https://www.eia.gov/dnav/pet/hist/rbrtem.htm</t>
        </is>
      </c>
      <c r="J43" s="9" t="inlineStr">
        <is>
          <t xml:space="preserve">https://www.eia.gov/dnav/pet/hist/rwtcm.htm</t>
        </is>
      </c>
    </row>
    <row r="44">
      <c r="A44" s="5">
        <v>45474</v>
      </c>
      <c r="B44" s="8">
        <v>85.15</v>
      </c>
      <c r="C44" s="8">
        <v>81.8</v>
      </c>
      <c r="D44" s="7">
        <f>B44/B43-1</f>
        <v>0.035258358662614064</v>
      </c>
      <c r="E44" s="7">
        <f>C44/C43-1</f>
        <v>0.025448163469976137</v>
      </c>
      <c r="F44" s="8">
        <f>B44-C44</f>
        <v>3.3500000000000085</v>
      </c>
      <c r="G44" s="7">
        <f>STDEV(D39:D44)*SQRT(Assumptions!$B$9)</f>
        <v>0.18264023288128933</v>
      </c>
      <c r="H44" s="7">
        <f>STDEV(E39:E44)*SQRT(Assumptions!$B$9)</f>
        <v>0.15284440001944413</v>
      </c>
      <c r="I44" s="9" t="inlineStr">
        <is>
          <t xml:space="preserve">https://www.eia.gov/dnav/pet/hist/rbrtem.htm</t>
        </is>
      </c>
      <c r="J44" s="9" t="inlineStr">
        <is>
          <t xml:space="preserve">https://www.eia.gov/dnav/pet/hist/rwtcm.htm</t>
        </is>
      </c>
    </row>
    <row r="45">
      <c r="A45" s="5">
        <v>45505</v>
      </c>
      <c r="B45" s="8">
        <v>80.36</v>
      </c>
      <c r="C45" s="8">
        <v>76.68</v>
      </c>
      <c r="D45" s="7">
        <f>B45/B44-1</f>
        <v>-0.056253669994128064</v>
      </c>
      <c r="E45" s="7">
        <f>C45/C44-1</f>
        <v>-0.0625916870415647</v>
      </c>
      <c r="F45" s="8">
        <f>B45-C45</f>
        <v>3.6799999999999926</v>
      </c>
      <c r="G45" s="7">
        <f>STDEV(D40:D45)*SQRT(Assumptions!$B$9)</f>
        <v>0.19557189887066653</v>
      </c>
      <c r="H45" s="7">
        <f>STDEV(E40:E45)*SQRT(Assumptions!$B$9)</f>
        <v>0.1813536700256525</v>
      </c>
      <c r="I45" s="9" t="inlineStr">
        <is>
          <t xml:space="preserve">https://www.eia.gov/dnav/pet/hist/rbrtem.htm</t>
        </is>
      </c>
      <c r="J45" s="9" t="inlineStr">
        <is>
          <t xml:space="preserve">https://www.eia.gov/dnav/pet/hist/rwtcm.htm</t>
        </is>
      </c>
    </row>
    <row r="46">
      <c r="A46" s="5">
        <v>45536</v>
      </c>
      <c r="B46" s="8">
        <v>74.02</v>
      </c>
      <c r="C46" s="8">
        <v>70.24</v>
      </c>
      <c r="D46" s="7">
        <f>B46/B45-1</f>
        <v>-0.07889497262319567</v>
      </c>
      <c r="E46" s="7">
        <f>C46/C45-1</f>
        <v>-0.08398539384454895</v>
      </c>
      <c r="F46" s="8">
        <f>B46-C46</f>
        <v>3.780000000000001</v>
      </c>
      <c r="G46" s="7">
        <f>STDEV(D41:D46)*SQRT(Assumptions!$B$9)</f>
        <v>0.2128634002851016</v>
      </c>
      <c r="H46" s="7">
        <f>STDEV(E41:E46)*SQRT(Assumptions!$B$9)</f>
        <v>0.18925959055811095</v>
      </c>
      <c r="I46" s="9" t="inlineStr">
        <is>
          <t xml:space="preserve">https://www.eia.gov/dnav/pet/hist/rbrtem.htm</t>
        </is>
      </c>
      <c r="J46" s="9" t="inlineStr">
        <is>
          <t xml:space="preserve">https://www.eia.gov/dnav/pet/hist/rwtcm.htm</t>
        </is>
      </c>
    </row>
    <row r="47">
      <c r="A47" s="5">
        <v>45566</v>
      </c>
      <c r="B47" s="8">
        <v>75.63</v>
      </c>
      <c r="C47" s="8">
        <v>71.99</v>
      </c>
      <c r="D47" s="7">
        <f>B47/B46-1</f>
        <v>0.02175087814104293</v>
      </c>
      <c r="E47" s="7">
        <f>C47/C46-1</f>
        <v>0.02491457858769941</v>
      </c>
      <c r="F47" s="8">
        <f>B47-C47</f>
        <v>3.6400000000000006</v>
      </c>
      <c r="G47" s="7">
        <f>STDEV(D42:D47)*SQRT(Assumptions!$B$9)</f>
        <v>0.18974853899404187</v>
      </c>
      <c r="H47" s="7">
        <f>STDEV(E42:E47)*SQRT(Assumptions!$B$9)</f>
        <v>0.16819057192369394</v>
      </c>
      <c r="I47" s="9" t="inlineStr">
        <is>
          <t xml:space="preserve">https://www.eia.gov/dnav/pet/hist/rbrtem.htm</t>
        </is>
      </c>
      <c r="J47" s="9" t="inlineStr">
        <is>
          <t xml:space="preserve">https://www.eia.gov/dnav/pet/hist/rwtcm.htm</t>
        </is>
      </c>
    </row>
    <row r="48">
      <c r="A48" s="5">
        <v>45597</v>
      </c>
      <c r="B48" s="8">
        <v>74.35</v>
      </c>
      <c r="C48" s="8">
        <v>69.95</v>
      </c>
      <c r="D48" s="7">
        <f>B48/B47-1</f>
        <v>-0.0169245008594473</v>
      </c>
      <c r="E48" s="7">
        <f>C48/C47-1</f>
        <v>-0.028337269065147774</v>
      </c>
      <c r="F48" s="8">
        <f>B48-C48</f>
        <v>4.3999999999999915</v>
      </c>
      <c r="G48" s="7">
        <f>STDEV(D43:D48)*SQRT(Assumptions!$B$9)</f>
        <v>0.1557719553159324</v>
      </c>
      <c r="H48" s="7">
        <f>STDEV(E43:E48)*SQRT(Assumptions!$B$9)</f>
        <v>0.15749681661586684</v>
      </c>
      <c r="I48" s="9" t="inlineStr">
        <is>
          <t xml:space="preserve">https://www.eia.gov/dnav/pet/hist/rbrtem.htm</t>
        </is>
      </c>
      <c r="J48" s="9" t="inlineStr">
        <is>
          <t xml:space="preserve">https://www.eia.gov/dnav/pet/hist/rwtcm.htm</t>
        </is>
      </c>
    </row>
    <row r="49">
      <c r="A49" s="5">
        <v>45627</v>
      </c>
      <c r="B49" s="8">
        <v>73.86</v>
      </c>
      <c r="C49" s="8">
        <v>70.12</v>
      </c>
      <c r="D49" s="7">
        <f>B49/B48-1</f>
        <v>-0.006590450571620665</v>
      </c>
      <c r="E49" s="7">
        <f>C49/C48-1</f>
        <v>0.0024303073624016847</v>
      </c>
      <c r="F49" s="8">
        <f>B49-C49</f>
        <v>3.739999999999995</v>
      </c>
      <c r="G49" s="7">
        <f>STDEV(D44:D49)*SQRT(Assumptions!$B$9)</f>
        <v>0.15267808769132107</v>
      </c>
      <c r="H49" s="7">
        <f>STDEV(E44:E49)*SQRT(Assumptions!$B$9)</f>
        <v>0.15921996950763792</v>
      </c>
      <c r="I49" s="9" t="inlineStr">
        <is>
          <t xml:space="preserve">https://www.eia.gov/dnav/pet/hist/rbrtem.htm</t>
        </is>
      </c>
      <c r="J49" s="9" t="inlineStr">
        <is>
          <t xml:space="preserve">https://www.eia.gov/dnav/pet/hist/rwtcm.htm</t>
        </is>
      </c>
    </row>
    <row r="50">
      <c r="A50" s="5">
        <v>45658</v>
      </c>
      <c r="B50" s="8">
        <v>79.27</v>
      </c>
      <c r="C50" s="8">
        <v>75.74</v>
      </c>
      <c r="D50" s="7">
        <f>B50/B49-1</f>
        <v>0.07324668291362024</v>
      </c>
      <c r="E50" s="7">
        <f>C50/C49-1</f>
        <v>0.08014831717056459</v>
      </c>
      <c r="F50" s="8">
        <f>B50-C50</f>
        <v>3.530000000000001</v>
      </c>
      <c r="G50" s="7">
        <f>STDEV(D45:D50)*SQRT(Assumptions!$B$9)</f>
        <v>0.18898496125986303</v>
      </c>
      <c r="H50" s="7">
        <f>STDEV(E45:E50)*SQRT(Assumptions!$B$9)</f>
        <v>0.20823290811606188</v>
      </c>
      <c r="I50" s="9" t="inlineStr">
        <is>
          <t xml:space="preserve">https://www.eia.gov/dnav/pet/hist/rbrtem.htm</t>
        </is>
      </c>
      <c r="J50" s="9" t="inlineStr">
        <is>
          <t xml:space="preserve">https://www.eia.gov/dnav/pet/hist/rwtcm.htm</t>
        </is>
      </c>
    </row>
    <row r="51">
      <c r="A51" s="5">
        <v>45689</v>
      </c>
      <c r="B51" s="8">
        <v>75.44</v>
      </c>
      <c r="C51" s="8">
        <v>71.53</v>
      </c>
      <c r="D51" s="7">
        <f>B51/B50-1</f>
        <v>-0.04831588242714768</v>
      </c>
      <c r="E51" s="7">
        <f>C51/C50-1</f>
        <v>-0.055584895695801384</v>
      </c>
      <c r="F51" s="8">
        <f>B51-C51</f>
        <v>3.9099999999999966</v>
      </c>
      <c r="G51" s="7">
        <f>STDEV(D46:D51)*SQRT(Assumptions!$B$9)</f>
        <v>0.18466803731694192</v>
      </c>
      <c r="H51" s="7">
        <f>STDEV(E46:E51)*SQRT(Assumptions!$B$9)</f>
        <v>0.20428396393678028</v>
      </c>
      <c r="I51" s="9" t="inlineStr">
        <is>
          <t xml:space="preserve">https://www.eia.gov/dnav/pet/hist/rbrtem.htm</t>
        </is>
      </c>
      <c r="J51" s="9" t="inlineStr">
        <is>
          <t xml:space="preserve">https://www.eia.gov/dnav/pet/hist/rwtcm.htm</t>
        </is>
      </c>
    </row>
    <row r="52">
      <c r="A52" s="5">
        <v>45717</v>
      </c>
      <c r="B52" s="8">
        <v>72.73</v>
      </c>
      <c r="C52" s="8">
        <v>68.24</v>
      </c>
      <c r="D52" s="7">
        <f>B52/B51-1</f>
        <v>-0.03592258748674437</v>
      </c>
      <c r="E52" s="7">
        <f>C52/C51-1</f>
        <v>-0.04599468754368807</v>
      </c>
      <c r="F52" s="8">
        <f>B52-C52</f>
        <v>4.490000000000009</v>
      </c>
      <c r="G52" s="7">
        <f>STDEV(D47:D52)*SQRT(Assumptions!$B$9)</f>
        <v>0.1530943877508186</v>
      </c>
      <c r="H52" s="7">
        <f>STDEV(E47:E52)*SQRT(Assumptions!$B$9)</f>
        <v>0.17646383032036475</v>
      </c>
      <c r="I52" s="9" t="inlineStr">
        <is>
          <t xml:space="preserve">https://www.eia.gov/dnav/pet/hist/rbrtem.htm</t>
        </is>
      </c>
      <c r="J52" s="9" t="inlineStr">
        <is>
          <t xml:space="preserve">https://www.eia.gov/dnav/pet/hist/rwtcm.htm</t>
        </is>
      </c>
    </row>
    <row r="53">
      <c r="A53" s="5">
        <v>45748</v>
      </c>
      <c r="B53" s="8">
        <v>68.13</v>
      </c>
      <c r="C53" s="8">
        <v>63.54</v>
      </c>
      <c r="D53" s="7">
        <f>B53/B52-1</f>
        <v>-0.06324762821394214</v>
      </c>
      <c r="E53" s="7">
        <f>C53/C52-1</f>
        <v>-0.0688745603751465</v>
      </c>
      <c r="F53" s="8">
        <f>B53-C53</f>
        <v>4.589999999999996</v>
      </c>
      <c r="G53" s="7">
        <f>STDEV(D48:D53)*SQRT(Assumptions!$B$9)</f>
        <v>0.1677670948955315</v>
      </c>
      <c r="H53" s="7">
        <f>STDEV(E48:E53)*SQRT(Assumptions!$B$9)</f>
        <v>0.18929757471896702</v>
      </c>
      <c r="I53" s="9" t="inlineStr">
        <is>
          <t xml:space="preserve">https://www.eia.gov/dnav/pet/hist/rbrtem.htm</t>
        </is>
      </c>
      <c r="J53" s="9" t="inlineStr">
        <is>
          <t xml:space="preserve">https://www.eia.gov/dnav/pet/hist/rwtcm.htm</t>
        </is>
      </c>
    </row>
    <row r="54">
      <c r="A54" s="5">
        <v>45778</v>
      </c>
      <c r="B54" s="8">
        <v>64.45</v>
      </c>
      <c r="C54" s="8">
        <v>62.17</v>
      </c>
      <c r="D54" s="7">
        <f>B54/B53-1</f>
        <v>-0.05401438426537486</v>
      </c>
      <c r="E54" s="7">
        <f>C54/C53-1</f>
        <v>-0.02156122127793514</v>
      </c>
      <c r="F54" s="8">
        <f>B54-C54</f>
        <v>2.280000000000001</v>
      </c>
      <c r="G54" s="7">
        <f>STDEV(D49:D54)*SQRT(Assumptions!$B$9)</f>
        <v>0.17609557588982142</v>
      </c>
      <c r="H54" s="7">
        <f>STDEV(E49:E54)*SQRT(Assumptions!$B$9)</f>
        <v>0.188768910728522</v>
      </c>
      <c r="I54" s="9" t="inlineStr">
        <is>
          <t xml:space="preserve">https://www.eia.gov/dnav/pet/hist/rbrtem.htm</t>
        </is>
      </c>
      <c r="J54" s="9" t="inlineStr">
        <is>
          <t xml:space="preserve">https://www.eia.gov/dnav/pet/hist/rwtcm.htm</t>
        </is>
      </c>
    </row>
    <row r="55">
      <c r="A55" s="5">
        <v>45809</v>
      </c>
      <c r="B55" s="8">
        <v>71.44</v>
      </c>
      <c r="C55" s="8">
        <v>68.17</v>
      </c>
      <c r="D55" s="7">
        <f>B55/B54-1</f>
        <v>0.10845616757176102</v>
      </c>
      <c r="E55" s="7">
        <f>C55/C54-1</f>
        <v>0.09650957053241105</v>
      </c>
      <c r="F55" s="8">
        <f>B55-C55</f>
        <v>3.269999999999996</v>
      </c>
      <c r="G55" s="7">
        <f>STDEV(D50:D55)*SQRT(Assumptions!$B$9)</f>
        <v>0.2573954099329174</v>
      </c>
      <c r="H55" s="7">
        <f>STDEV(E50:E55)*SQRT(Assumptions!$B$9)</f>
        <v>0.25033892788924095</v>
      </c>
      <c r="I55" s="9" t="inlineStr">
        <is>
          <t xml:space="preserve">https://www.eia.gov/dnav/pet/hist/rbrtem.htm</t>
        </is>
      </c>
      <c r="J55" s="9" t="inlineStr">
        <is>
          <t xml:space="preserve">https://www.eia.gov/dnav/pet/hist/rwtcm.htm</t>
        </is>
      </c>
    </row>
    <row r="56">
      <c r="A56" s="5">
        <v>45839</v>
      </c>
      <c r="B56" s="8">
        <v>71.04</v>
      </c>
      <c r="C56" s="8">
        <v>68.39</v>
      </c>
      <c r="D56" s="7">
        <f>B56/B55-1</f>
        <v>-0.005599104143336975</v>
      </c>
      <c r="E56" s="7">
        <f>C56/C55-1</f>
        <v>0.003227226052515686</v>
      </c>
      <c r="F56" s="8">
        <f>B56-C56</f>
        <v>2.6500000000000057</v>
      </c>
      <c r="G56" s="7">
        <f>STDEV(D51:D56)*SQRT(Assumptions!$B$9)</f>
        <v>0.22297089964081793</v>
      </c>
      <c r="H56" s="7">
        <f>STDEV(E51:E56)*SQRT(Assumptions!$B$9)</f>
        <v>0.20968017401259523</v>
      </c>
      <c r="I56" s="9" t="inlineStr">
        <is>
          <t xml:space="preserve">https://www.eia.gov/dnav/pet/hist/rbrtem.htm</t>
        </is>
      </c>
      <c r="J56" s="9" t="inlineStr">
        <is>
          <t xml:space="preserve">https://www.eia.gov/dnav/pet/hist/rwtcm.htm</t>
        </is>
      </c>
    </row>
    <row r="57">
      <c r="A57" s="5">
        <v>45870</v>
      </c>
      <c r="B57" s="8">
        <v>67.87</v>
      </c>
      <c r="C57" s="8">
        <v>64.86</v>
      </c>
      <c r="D57" s="7">
        <f>B57/B56-1</f>
        <v>-0.04462274774774777</v>
      </c>
      <c r="E57" s="7">
        <f>C57/C56-1</f>
        <v>-0.051615733294341326</v>
      </c>
      <c r="F57" s="8">
        <f>B57-C57</f>
        <v>3.010000000000005</v>
      </c>
      <c r="G57" s="7">
        <f>STDEV(D52:D57)*SQRT(Assumptions!$B$9)</f>
        <v>0.22176168611087616</v>
      </c>
      <c r="H57" s="7">
        <f>STDEV(E52:E57)*SQRT(Assumptions!$B$9)</f>
        <v>0.20792137090379395</v>
      </c>
      <c r="I57" s="9" t="inlineStr">
        <is>
          <t xml:space="preserve">https://www.eia.gov/dnav/pet/hist/rbrtem.htm</t>
        </is>
      </c>
      <c r="J57" s="9" t="inlineStr">
        <is>
          <t xml:space="preserve">https://www.eia.gov/dnav/pet/hist/rwtcm.htm</t>
        </is>
      </c>
    </row>
    <row r="58">
      <c r="A58" s="5">
        <v>45901</v>
      </c>
      <c r="B58" s="8">
        <v>67.99</v>
      </c>
      <c r="C58" s="8">
        <v>63.96</v>
      </c>
      <c r="D58" s="7">
        <f>B58/B57-1</f>
        <v>0.0017680860468540782</v>
      </c>
      <c r="E58" s="7">
        <f>C58/C57-1</f>
        <v>-0.013876040703052706</v>
      </c>
      <c r="F58" s="8">
        <f>B58-C58</f>
        <v>4.029999999999994</v>
      </c>
      <c r="G58" s="7">
        <f>STDEV(D53:D58)*SQRT(Assumptions!$B$9)</f>
        <v>0.21996242410778608</v>
      </c>
      <c r="H58" s="7">
        <f>STDEV(E53:E58)*SQRT(Assumptions!$B$9)</f>
        <v>0.20117812038443045</v>
      </c>
      <c r="I58" s="9" t="inlineStr">
        <is>
          <t xml:space="preserve">https://www.eia.gov/dnav/pet/hist/rbrtem.htm</t>
        </is>
      </c>
      <c r="J58" s="9" t="inlineStr">
        <is>
          <t xml:space="preserve">https://www.eia.gov/dnav/pet/hist/rwtcm.htm</t>
        </is>
      </c>
    </row>
    <row r="59">
      <c r="A59" s="5">
        <v>45931</v>
      </c>
      <c r="B59" s="8">
        <v>64.54</v>
      </c>
      <c r="C59" s="8">
        <v>60.89</v>
      </c>
      <c r="D59" s="7">
        <f>B59/B58-1</f>
        <v>-0.050742756287689206</v>
      </c>
      <c r="E59" s="7">
        <f>C59/C58-1</f>
        <v>-0.047998749218261416</v>
      </c>
      <c r="F59" s="8">
        <f>B59-C59</f>
        <v>3.6500000000000057</v>
      </c>
      <c r="G59" s="7">
        <f>STDEV(D54:D59)*SQRT(Assumptions!$B$9)</f>
        <v>0.21324327466106396</v>
      </c>
      <c r="H59" s="7">
        <f>STDEV(E54:E59)*SQRT(Assumptions!$B$9)</f>
        <v>0.18809879884782785</v>
      </c>
      <c r="I59" s="9" t="inlineStr">
        <is>
          <t xml:space="preserve">https://www.eia.gov/dnav/pet/hist/rbrtem.htm</t>
        </is>
      </c>
      <c r="J59" s="9" t="inlineStr">
        <is>
          <t xml:space="preserve">https://www.eia.gov/dnav/pet/hist/rwtcm.htm</t>
        </is>
      </c>
    </row>
    <row r="60">
      <c r="A60" s="5">
        <v>45962</v>
      </c>
      <c r="B60" s="8">
        <v>63.8</v>
      </c>
      <c r="C60" s="8">
        <v>60.06</v>
      </c>
      <c r="D60" s="7">
        <f>B60/B59-1</f>
        <v>-0.011465757669662402</v>
      </c>
      <c r="E60" s="7">
        <f>C60/C59-1</f>
        <v>-0.013631138117917496</v>
      </c>
      <c r="F60" s="8">
        <f>B60-C60</f>
        <v>3.739999999999995</v>
      </c>
      <c r="G60" s="7">
        <f>STDEV(D55:D60)*SQRT(Assumptions!$B$9)</f>
        <v>0.19896061372526694</v>
      </c>
      <c r="H60" s="7">
        <f>STDEV(E55:E60)*SQRT(Assumptions!$B$9)</f>
        <v>0.18684286449189433</v>
      </c>
      <c r="I60" s="9" t="inlineStr">
        <is>
          <t xml:space="preserve">https://www.eia.gov/dnav/pet/hist/rbrtem.htm</t>
        </is>
      </c>
      <c r="J60" s="9" t="inlineStr">
        <is>
          <t xml:space="preserve">https://www.eia.gov/dnav/pet/hist/rwtcm.htm</t>
        </is>
      </c>
    </row>
    <row r="61">
      <c r="A61" s="5">
        <v>45992</v>
      </c>
      <c r="B61" s="8">
        <v>62.54</v>
      </c>
      <c r="C61" s="8">
        <v>57.97</v>
      </c>
      <c r="D61" s="7">
        <f>B61/B60-1</f>
        <v>-0.019749216300940398</v>
      </c>
      <c r="E61" s="7">
        <f>C61/C60-1</f>
        <v>-0.0347985347985349</v>
      </c>
      <c r="F61" s="8">
        <f>B61-C61</f>
        <v>4.57</v>
      </c>
      <c r="G61" s="7">
        <f>STDEV(D56:D61)*SQRT(Assumptions!$B$9)</f>
        <v>0.0740939152999597</v>
      </c>
      <c r="H61" s="7">
        <f>STDEV(E56:E61)*SQRT(Assumptions!$B$9)</f>
        <v>0.07542720202183513</v>
      </c>
      <c r="I61" s="9" t="inlineStr">
        <is>
          <t xml:space="preserve">https://www.eia.gov/dnav/pet/hist/rbrtem.htm</t>
        </is>
      </c>
      <c r="J61" s="9" t="inlineStr">
        <is>
          <t xml:space="preserve">https://www.eia.gov/dnav/pet/hist/rwtcm.htm</t>
        </is>
      </c>
    </row>
    <row r="62">
      <c r="A62" s="5">
        <v>46023</v>
      </c>
      <c r="B62" s="8">
        <v>66.6</v>
      </c>
      <c r="C62" s="8">
        <v>60.04</v>
      </c>
      <c r="D62" s="7">
        <f>B62/B61-1</f>
        <v>0.06491845219059789</v>
      </c>
      <c r="E62" s="7">
        <f>C62/C61-1</f>
        <v>0.035708124892185555</v>
      </c>
      <c r="F62" s="8">
        <f>B62-C62</f>
        <v>6.559999999999995</v>
      </c>
      <c r="G62" s="7">
        <f>STDEV(D57:D62)*SQRT(Assumptions!$B$9)</f>
        <v>0.14455860792298622</v>
      </c>
      <c r="H62" s="7">
        <f>STDEV(E57:E62)*SQRT(Assumptions!$B$9)</f>
        <v>0.11147207723918892</v>
      </c>
      <c r="I62" s="9" t="inlineStr">
        <is>
          <t xml:space="preserve">https://www.eia.gov/dnav/pet/hist/rbrtem.htm</t>
        </is>
      </c>
      <c r="J62" s="9" t="inlineStr">
        <is>
          <t xml:space="preserve">https://www.eia.gov/dnav/pet/hist/rwtcm.htm</t>
        </is>
      </c>
    </row>
    <row r="63">
      <c r="A63" s="5">
        <v>46054</v>
      </c>
      <c r="B63" s="8">
        <v>70.89</v>
      </c>
      <c r="C63" s="8">
        <v>64.51</v>
      </c>
      <c r="D63" s="7">
        <f>B63/B62-1</f>
        <v>0.06441441441441453</v>
      </c>
      <c r="E63" s="7">
        <f>C63/C62-1</f>
        <v>0.07445036642238523</v>
      </c>
      <c r="F63" s="8">
        <f>B63-C63</f>
        <v>6.3799999999999955</v>
      </c>
      <c r="G63" s="7">
        <f>STDEV(D58:D63)*SQRT(Assumptions!$B$9)</f>
        <v>0.1629274298970126</v>
      </c>
      <c r="H63" s="7">
        <f>STDEV(E58:E63)*SQRT(Assumptions!$B$9)</f>
        <v>0.16033285932774227</v>
      </c>
      <c r="I63" s="9" t="inlineStr">
        <is>
          <t xml:space="preserve">https://www.eia.gov/dnav/pet/hist/rbrtem.htm</t>
        </is>
      </c>
      <c r="J63" s="9" t="inlineStr">
        <is>
          <t xml:space="preserve">https://www.eia.gov/dnav/pet/hist/rwtcm.htm</t>
        </is>
      </c>
    </row>
    <row r="64">
      <c r="A64" s="5">
        <v>46082</v>
      </c>
      <c r="B64" s="8">
        <v>103.13</v>
      </c>
      <c r="C64" s="8">
        <v>91.38</v>
      </c>
      <c r="D64" s="7">
        <f>B64/B63-1</f>
        <v>0.4547891098885597</v>
      </c>
      <c r="E64" s="7">
        <f>C64/C63-1</f>
        <v>0.416524569834134</v>
      </c>
      <c r="F64" s="8">
        <f>B64-C64</f>
        <v>11.75</v>
      </c>
      <c r="G64" s="7">
        <f>STDEV(D59:D64)*SQRT(Assumptions!$B$9)</f>
        <v>0.650412037007941</v>
      </c>
      <c r="H64" s="7">
        <f>STDEV(E59:E64)*SQRT(Assumptions!$B$9)</f>
        <v>0.6062832895551898</v>
      </c>
      <c r="I64" s="9" t="inlineStr">
        <is>
          <t xml:space="preserve">https://www.eia.gov/dnav/pet/hist/rbrtem.htm</t>
        </is>
      </c>
      <c r="J64" s="9" t="inlineStr">
        <is>
          <t xml:space="preserve">https://www.eia.gov/dnav/pet/hist/rwtcm.htm</t>
        </is>
      </c>
    </row>
    <row r="65">
      <c r="A65" s="5">
        <v>46113</v>
      </c>
      <c r="B65" s="8">
        <v>117.29</v>
      </c>
      <c r="C65" s="8">
        <v>100.32</v>
      </c>
      <c r="D65" s="7">
        <f>B65/B64-1</f>
        <v>0.13730243382139062</v>
      </c>
      <c r="E65" s="7">
        <f>C65/C64-1</f>
        <v>0.09783322390019689</v>
      </c>
      <c r="F65" s="8">
        <f>B65-C65</f>
        <v>16.970000000000013</v>
      </c>
      <c r="G65" s="7">
        <f>STDEV(D60:D65)*SQRT(Assumptions!$B$9)</f>
        <v>0.6102564034882155</v>
      </c>
      <c r="H65" s="7">
        <f>STDEV(E60:E65)*SQRT(Assumptions!$B$9)</f>
        <v>0.5712430643194202</v>
      </c>
      <c r="I65" s="9" t="inlineStr">
        <is>
          <t xml:space="preserve">https://www.eia.gov/dnav/pet/hist/rbrtem.htm</t>
        </is>
      </c>
      <c r="J65" s="9" t="inlineStr">
        <is>
          <t xml:space="preserve">https://www.eia.gov/dnav/pet/hist/rwtcm.htm</t>
        </is>
      </c>
    </row>
    <row r="66">
      <c r="A66" s="5">
        <v>46143</v>
      </c>
      <c r="B66" s="8">
        <v>107.14</v>
      </c>
      <c r="C66" s="8">
        <v>102.13</v>
      </c>
      <c r="D66" s="7">
        <f>B66/B65-1</f>
        <v>-0.08653764174268908</v>
      </c>
      <c r="E66" s="7">
        <f>C66/C65-1</f>
        <v>0.018042264752791137</v>
      </c>
      <c r="F66" s="8">
        <f>B66-C66</f>
        <v>5.010000000000005</v>
      </c>
      <c r="G66" s="7">
        <f>STDEV(D61:D66)*SQRT(Assumptions!$B$9)</f>
        <v>0.6551857299535883</v>
      </c>
      <c r="H66" s="7">
        <f>STDEV(E61:E66)*SQRT(Assumptions!$B$9)</f>
        <v>0.5582610276637006</v>
      </c>
      <c r="I66" s="9" t="inlineStr">
        <is>
          <t xml:space="preserve">https://www.eia.gov/dnav/pet/hist/rbrtem.htm</t>
        </is>
      </c>
      <c r="J66" s="9" t="inlineStr">
        <is>
          <t xml:space="preserve">https://www.eia.gov/dnav/pet/hist/rwtcm.htm</t>
        </is>
      </c>
    </row>
    <row r="67">
      <c r="A67" s="5">
        <v>46174</v>
      </c>
      <c r="B67" s="8">
        <v>85.4</v>
      </c>
      <c r="C67" s="8">
        <v>84.81</v>
      </c>
      <c r="D67" s="7">
        <f>B67/B66-1</f>
        <v>-0.2029120776554041</v>
      </c>
      <c r="E67" s="7">
        <f>C67/C66-1</f>
        <v>-0.16958778028003518</v>
      </c>
      <c r="F67" s="8">
        <f>B67-C67</f>
        <v>0.5900000000000034</v>
      </c>
      <c r="G67" s="7">
        <f>STDEV(D62:D67)*SQRT(Assumptions!$B$9)</f>
        <v>0.7770875381171085</v>
      </c>
      <c r="H67" s="7">
        <f>STDEV(E62:E67)*SQRT(Assumptions!$B$9)</f>
        <v>0.6603343964120498</v>
      </c>
      <c r="I67" s="9" t="inlineStr">
        <is>
          <t xml:space="preserve">https://www.eia.gov/dnav/pet/hist/rbrtem.htm</t>
        </is>
      </c>
      <c r="J67" s="9" t="inlineStr">
        <is>
          <t xml:space="preserve">https://www.eia.gov/dnav/pet/hist/rwtcm.htm</t>
        </is>
      </c>
    </row>
    <row r="68">
      <c r="A68" s="5">
        <v>46204</v>
      </c>
      <c r="B68" s="8">
        <v>83.76</v>
      </c>
      <c r="C68" s="8">
        <v>80.46</v>
      </c>
      <c r="D68" s="7">
        <f>B68/B67-1</f>
        <v>-0.01920374707259953</v>
      </c>
      <c r="E68" s="7">
        <f>C68/C67-1</f>
        <v>-0.051291121330031886</v>
      </c>
      <c r="F68" s="8">
        <f>B68-C68</f>
        <v>3.3000000000000114</v>
      </c>
      <c r="G68" s="7">
        <f>STDEV(D63:D68)*SQRT(Assumptions!$B$9)</f>
        <v>0.7879567635819013</v>
      </c>
      <c r="H68" s="7">
        <f>STDEV(E63:E68)*SQRT(Assumptions!$B$9)</f>
        <v>0.684971641281547</v>
      </c>
      <c r="I68" s="9" t="inlineStr">
        <is>
          <t xml:space="preserve">https://www.eia.gov/dnav/pet/hist/rbrtem.htm</t>
        </is>
      </c>
      <c r="J68" s="9" t="inlineStr">
        <is>
          <t xml:space="preserve">https://www.eia.gov/dnav/pet/hist/rwtcm.htm</t>
        </is>
      </c>
    </row>
    <row r="69">
      <c r="A69" s="5">
        <v>46235</v>
      </c>
      <c r="B69" s="8">
        <v>91.08</v>
      </c>
      <c r="C69" s="8">
        <v>83.9</v>
      </c>
      <c r="D69" s="7">
        <f>B69/B68-1</f>
        <v>0.08739255014326641</v>
      </c>
      <c r="E69" s="7">
        <f>C69/C68-1</f>
        <v>0.042754163559532765</v>
      </c>
      <c r="F69" s="8">
        <f>B69-C69</f>
        <v>7.179999999999993</v>
      </c>
      <c r="G69" s="7">
        <f>STDEV(D64:D69)*SQRT(Assumptions!$B$9)</f>
        <v>0.7890767012523081</v>
      </c>
      <c r="H69" s="7">
        <f>STDEV(E64:E69)*SQRT(Assumptions!$B$9)</f>
        <v>0.6853141633367784</v>
      </c>
      <c r="I69" s="9" t="inlineStr">
        <is>
          <t xml:space="preserve">https://www.eia.gov/dnav/pet/hist/rbrtem.htm</t>
        </is>
      </c>
      <c r="J69" s="9" t="inlineStr">
        <is>
          <t xml:space="preserve">https://www.eia.gov/dnav/pet/hist/rwtcm.htm</t>
        </is>
      </c>
    </row>
  </sheetData>
  <autoFilter ref="A1:J69"/>
  <pageMargins left="0.35" right="0.35" top="0.5" bottom="0.5" header="0.2" footer="0.2"/>
</worksheet>
</file>

<file path=xl/worksheets/sheet4.xml><?xml version="1.0" encoding="utf-8"?>
<worksheet xmlns="http://schemas.openxmlformats.org/spreadsheetml/2006/main">
  <dimension ref="A1:H14"/>
  <sheetViews>
    <sheetView workbookViewId="0" showGridLines="0">
      <pane ySplit="3" topLeftCell="A4" activePane="bottomLeft" state="frozen"/>
    </sheetView>
  </sheetViews>
  <sheetFormatPr defaultRowHeight="17"/>
  <cols>
    <col min="1" max="1" width="22" customWidth="1"/>
    <col min="2" max="2" width="26" customWidth="1"/>
    <col min="3" max="3" width="28" customWidth="1"/>
    <col min="4" max="4" width="28" customWidth="1"/>
    <col min="5" max="5" width="32" customWidth="1"/>
    <col min="6" max="6" width="12" customWidth="1"/>
    <col min="7" max="7" width="12" customWidth="1"/>
    <col min="8" max="8" width="12" customWidth="1"/>
  </cols>
  <sheetData>
    <row r="1" ht="38" customHeight="1">
      <c r="A1" s="1" t="inlineStr">
        <is>
          <t xml:space="preserve">SCENARIO GRID  |  Buyer / Seller price-shock sensitivity</t>
        </is>
      </c>
      <c r="B1" s="1"/>
      <c r="C1" s="1"/>
      <c r="D1" s="1"/>
      <c r="E1" s="1"/>
      <c r="F1" s="1"/>
      <c r="G1" s="1"/>
      <c r="H1" s="1"/>
    </row>
    <row r="3" ht="28" customHeight="1">
      <c r="A3" s="3" t="inlineStr">
        <is>
          <t xml:space="preserve">Price shock</t>
        </is>
      </c>
      <c r="B3" s="3" t="inlineStr">
        <is>
          <t xml:space="preserve">Shocked ($/bbl)</t>
        </is>
      </c>
      <c r="C3" s="3" t="inlineStr">
        <is>
          <t xml:space="preserve">Impact before proxy ($)</t>
        </is>
      </c>
      <c r="D3" s="3" t="inlineStr">
        <is>
          <t xml:space="preserve">Impact after proxy ($)</t>
        </is>
      </c>
      <c r="E3" s="3" t="inlineStr">
        <is>
          <t xml:space="preserve">Interpretation</t>
        </is>
      </c>
    </row>
    <row r="4">
      <c r="A4" s="12">
        <v>-0.2</v>
      </c>
      <c r="B4" s="8">
        <f>'Risk Summary'!$B$16*(1+A4)</f>
        <v>72.864</v>
      </c>
      <c r="C4" s="6">
        <f>IF('Risk Summary'!$B$17="Buyer",-1,1)*'Risk Summary'!$B$20*'Risk Summary'!$B$16*A4</f>
        <v>182160.0</v>
      </c>
      <c r="D4" s="14">
        <f>C4*(1-'Risk Summary'!$B$19)</f>
        <v>91080.0</v>
      </c>
      <c r="E4" s="0" t="str">
        <f>IF(D4&gt;0,"Favourable",IF(D4&lt;0,"Unfavourable","No change"))</f>
        <v>Favourable</v>
      </c>
    </row>
    <row r="5">
      <c r="A5" s="12">
        <v>-0.1</v>
      </c>
      <c r="B5" s="8">
        <f>'Risk Summary'!$B$16*(1+A5)</f>
        <v>81.972</v>
      </c>
      <c r="C5" s="6">
        <f>IF('Risk Summary'!$B$17="Buyer",-1,1)*'Risk Summary'!$B$20*'Risk Summary'!$B$16*A5</f>
        <v>91080.0</v>
      </c>
      <c r="D5" s="14">
        <f>C5*(1-'Risk Summary'!$B$19)</f>
        <v>45540.0</v>
      </c>
      <c r="E5" s="0" t="str">
        <f>IF(D5&gt;0,"Favourable",IF(D5&lt;0,"Unfavourable","No change"))</f>
        <v>Favourable</v>
      </c>
    </row>
    <row r="6">
      <c r="A6" s="12">
        <v>-0.05</v>
      </c>
      <c r="B6" s="8">
        <f>'Risk Summary'!$B$16*(1+A6)</f>
        <v>86.526</v>
      </c>
      <c r="C6" s="6">
        <f>IF('Risk Summary'!$B$17="Buyer",-1,1)*'Risk Summary'!$B$20*'Risk Summary'!$B$16*A6</f>
        <v>45540.0</v>
      </c>
      <c r="D6" s="14">
        <f>C6*(1-'Risk Summary'!$B$19)</f>
        <v>22770.0</v>
      </c>
      <c r="E6" s="0" t="str">
        <f>IF(D6&gt;0,"Favourable",IF(D6&lt;0,"Unfavourable","No change"))</f>
        <v>Favourable</v>
      </c>
    </row>
    <row r="7">
      <c r="A7" s="12">
        <v>0</v>
      </c>
      <c r="B7" s="8">
        <f>'Risk Summary'!$B$16*(1+A7)</f>
        <v>91.08</v>
      </c>
      <c r="C7" s="6">
        <f>IF('Risk Summary'!$B$17="Buyer",-1,1)*'Risk Summary'!$B$20*'Risk Summary'!$B$16*A7</f>
        <v>-0.0</v>
      </c>
      <c r="D7" s="14">
        <f>C7*(1-'Risk Summary'!$B$19)</f>
        <v>-0.0</v>
      </c>
      <c r="E7" s="0" t="str">
        <f>IF(D7&gt;0,"Favourable",IF(D7&lt;0,"Unfavourable","No change"))</f>
        <v>No change</v>
      </c>
    </row>
    <row r="8">
      <c r="A8" s="12">
        <v>0.05</v>
      </c>
      <c r="B8" s="8">
        <f>'Risk Summary'!$B$16*(1+A8)</f>
        <v>95.634</v>
      </c>
      <c r="C8" s="6">
        <f>IF('Risk Summary'!$B$17="Buyer",-1,1)*'Risk Summary'!$B$20*'Risk Summary'!$B$16*A8</f>
        <v>-45540.0</v>
      </c>
      <c r="D8" s="14">
        <f>C8*(1-'Risk Summary'!$B$19)</f>
        <v>-22770.0</v>
      </c>
      <c r="E8" s="0" t="str">
        <f>IF(D8&gt;0,"Favourable",IF(D8&lt;0,"Unfavourable","No change"))</f>
        <v>Unfavourable</v>
      </c>
    </row>
    <row r="9">
      <c r="A9" s="12">
        <v>0.1</v>
      </c>
      <c r="B9" s="8">
        <f>'Risk Summary'!$B$16*(1+A9)</f>
        <v>100.188</v>
      </c>
      <c r="C9" s="6">
        <f>IF('Risk Summary'!$B$17="Buyer",-1,1)*'Risk Summary'!$B$20*'Risk Summary'!$B$16*A9</f>
        <v>-91080.0</v>
      </c>
      <c r="D9" s="14">
        <f>C9*(1-'Risk Summary'!$B$19)</f>
        <v>-45540.0</v>
      </c>
      <c r="E9" s="0" t="str">
        <f>IF(D9&gt;0,"Favourable",IF(D9&lt;0,"Unfavourable","No change"))</f>
        <v>Unfavourable</v>
      </c>
    </row>
    <row r="10">
      <c r="A10" s="12">
        <v>0.2</v>
      </c>
      <c r="B10" s="8">
        <f>'Risk Summary'!$B$16*(1+A10)</f>
        <v>109.29599999999999</v>
      </c>
      <c r="C10" s="6">
        <f>IF('Risk Summary'!$B$17="Buyer",-1,1)*'Risk Summary'!$B$20*'Risk Summary'!$B$16*A10</f>
        <v>-182160.0</v>
      </c>
      <c r="D10" s="14">
        <f>C10*(1-'Risk Summary'!$B$19)</f>
        <v>-91080.0</v>
      </c>
      <c r="E10" s="0" t="str">
        <f>IF(D10&gt;0,"Favourable",IF(D10&lt;0,"Unfavourable","No change"))</f>
        <v>Unfavourable</v>
      </c>
    </row>
    <row r="13" ht="28" customHeight="1">
      <c r="A13" s="2" t="inlineStr">
        <is>
          <t xml:space="preserve">Interpretation</t>
        </is>
      </c>
      <c r="B13" s="9" t="inlineStr">
        <is>
          <t xml:space="preserve">Positive impact = favourable signed cash-flow change; negative = unfavourable.</t>
        </is>
      </c>
    </row>
    <row r="14" ht="28" customHeight="1">
      <c r="A14" s="2" t="inlineStr">
        <is>
          <t xml:space="preserve">Note</t>
        </is>
      </c>
      <c r="B14" s="9" t="inlineStr">
        <is>
          <t xml:space="preserve">Fixed-price share is a simplistic proxy, not a valuation of a futures or options hedge.</t>
        </is>
      </c>
    </row>
  </sheetData>
  <mergeCells count="1">
    <mergeCell ref="A1:H1"/>
  </mergeCells>
  <pageMargins left="0.35" right="0.35" top="0.5" bottom="0.5" header="0.2" footer="0.2"/>
</worksheet>
</file>

<file path=xl/worksheets/sheet5.xml><?xml version="1.0" encoding="utf-8"?>
<worksheet xmlns="http://schemas.openxmlformats.org/spreadsheetml/2006/main">
  <dimension ref="A1:F20"/>
  <sheetViews>
    <sheetView workbookViewId="0" showGridLines="0">
      <pane ySplit="3" topLeftCell="A4" activePane="bottomLeft" state="frozen"/>
    </sheetView>
  </sheetViews>
  <sheetFormatPr defaultRowHeight="17"/>
  <cols>
    <col min="1" max="1" width="34" customWidth="1"/>
    <col min="2" max="2" width="79" customWidth="1"/>
    <col min="3" max="3" width="65" customWidth="1"/>
    <col min="4" max="4" width="15" customWidth="1"/>
    <col min="5" max="5" width="15" customWidth="1"/>
    <col min="6" max="6" width="15" customWidth="1"/>
  </cols>
  <sheetData>
    <row r="1" ht="38" customHeight="1">
      <c r="A1" s="1" t="inlineStr">
        <is>
          <t xml:space="preserve">METHODOLOGY  |  Sources &amp; caveats</t>
        </is>
      </c>
      <c r="B1" s="1"/>
      <c r="C1" s="1"/>
      <c r="D1" s="1"/>
      <c r="E1" s="1"/>
      <c r="F1" s="1"/>
    </row>
    <row r="3" ht="28" customHeight="1">
      <c r="A3" s="3" t="inlineStr">
        <is>
          <t xml:space="preserve">Dataset</t>
        </is>
      </c>
      <c r="B3" s="3" t="inlineStr">
        <is>
          <t xml:space="preserve">Official EIA source</t>
        </is>
      </c>
      <c r="C3" s="3" t="inlineStr">
        <is>
          <t xml:space="preserve">Description</t>
        </is>
      </c>
    </row>
    <row r="4">
      <c r="A4" s="0" t="inlineStr">
        <is>
          <t xml:space="preserve">Brent monthly spot average</t>
        </is>
      </c>
      <c r="B4" s="9" t="inlineStr">
        <is>
          <t xml:space="preserve">https://www.eia.gov/dnav/pet/hist/rbrtem.htm</t>
        </is>
      </c>
      <c r="C4" s="0" t="inlineStr">
        <is>
          <t xml:space="preserve">Europe Brent Spot Price FOB, USD/bbl</t>
        </is>
      </c>
    </row>
    <row r="5">
      <c r="A5" s="0" t="inlineStr">
        <is>
          <t xml:space="preserve">WTI monthly spot average</t>
        </is>
      </c>
      <c r="B5" s="9" t="inlineStr">
        <is>
          <t xml:space="preserve">https://www.eia.gov/dnav/pet/hist/rwtcm.htm</t>
        </is>
      </c>
      <c r="C5" s="0" t="inlineStr">
        <is>
          <t xml:space="preserve">Cushing, Oklahoma WTI Spot Price FOB, USD/bbl</t>
        </is>
      </c>
    </row>
    <row r="7" ht="28" customHeight="1">
      <c r="A7" s="2" t="inlineStr">
        <is>
          <t xml:space="preserve">DEFINITIONS / IMPORTANT LIMITS</t>
        </is>
      </c>
      <c r="B7" s="2"/>
      <c r="C7" s="2"/>
      <c r="D7" s="2"/>
      <c r="E7" s="2"/>
      <c r="F7" s="2"/>
    </row>
    <row r="9">
      <c r="A9" s="0" t="inlineStr">
        <is>
          <t xml:space="preserve">Historical snapshot</t>
        </is>
      </c>
      <c r="B9" s="9" t="inlineStr">
        <is>
          <t xml:space="preserve">January 2021 – August 2026; 68 complete months per benchmark</t>
        </is>
      </c>
    </row>
    <row r="10">
      <c r="A10" s="0" t="inlineStr">
        <is>
          <t xml:space="preserve">Source accessed</t>
        </is>
      </c>
      <c r="B10" s="9" t="inlineStr">
        <is>
          <t xml:space="preserve">20 October 2026; frozen offline educational snapshot</t>
        </is>
      </c>
    </row>
    <row r="11">
      <c r="A11" s="0" t="inlineStr">
        <is>
          <t xml:space="preserve">Monthly price</t>
        </is>
      </c>
      <c r="B11" s="9" t="inlineStr">
        <is>
          <t xml:space="preserve">EIA average price across a month; not a first-day close or quoted futures price</t>
        </is>
      </c>
    </row>
    <row r="12">
      <c r="A12" s="0" t="inlineStr">
        <is>
          <t xml:space="preserve">Monthly change</t>
        </is>
      </c>
      <c r="B12" s="9" t="inlineStr">
        <is>
          <t xml:space="preserve">Current monthly average / previous monthly average - 1</t>
        </is>
      </c>
    </row>
    <row r="13">
      <c r="A13" s="0" t="inlineStr">
        <is>
          <t xml:space="preserve">Spread</t>
        </is>
      </c>
      <c r="B13" s="9" t="inlineStr">
        <is>
          <t xml:space="preserve">Brent monthly average minus WTI monthly average</t>
        </is>
      </c>
    </row>
    <row r="14">
      <c r="A14" s="0" t="inlineStr">
        <is>
          <t xml:space="preserve">Rolling volatility</t>
        </is>
      </c>
      <c r="B14" s="9" t="inlineStr">
        <is>
          <t xml:space="preserve">Sample standard deviation of six monthly changes times sqrt(12)</t>
        </is>
      </c>
    </row>
    <row r="15">
      <c r="A15" s="0" t="inlineStr">
        <is>
          <t xml:space="preserve">Coverage proxy</t>
        </is>
      </c>
      <c r="B15" s="9" t="inlineStr">
        <is>
          <t xml:space="preserve">Pre-fixed share is insensitive to price shock, by assumption</t>
        </is>
      </c>
    </row>
    <row r="16">
      <c r="A16" s="0" t="inlineStr">
        <is>
          <t xml:space="preserve">Buyer impact</t>
        </is>
      </c>
      <c r="B16" s="9" t="inlineStr">
        <is>
          <t xml:space="preserve">Signed change in cash flow is negative when reference price rises</t>
        </is>
      </c>
    </row>
    <row r="17">
      <c r="A17" s="0" t="inlineStr">
        <is>
          <t xml:space="preserve">Seller impact</t>
        </is>
      </c>
      <c r="B17" s="9" t="inlineStr">
        <is>
          <t xml:space="preserve">Signed change in cash flow is positive when reference price rises</t>
        </is>
      </c>
    </row>
    <row r="18">
      <c r="A18" s="0" t="inlineStr">
        <is>
          <t xml:space="preserve">Excluded</t>
        </is>
      </c>
      <c r="B18" s="9" t="inlineStr">
        <is>
          <t xml:space="preserve">Futures curves, funding, transport, FX, basis, margin, credit, storage, taxes</t>
        </is>
      </c>
    </row>
    <row r="19">
      <c r="A19" s="0" t="inlineStr">
        <is>
          <t xml:space="preserve">Incomplete year</t>
        </is>
      </c>
      <c r="B19" s="9" t="inlineStr">
        <is>
          <t xml:space="preserve">2026 includes Jan to Aug, not 12 months</t>
        </is>
      </c>
    </row>
    <row r="20">
      <c r="A20" s="0" t="inlineStr">
        <is>
          <t xml:space="preserve">Decision status</t>
        </is>
      </c>
      <c r="B20" s="9" t="inlineStr">
        <is>
          <t xml:space="preserve">These are educational conditional prompts, NOT trading signals</t>
        </is>
      </c>
    </row>
  </sheetData>
  <mergeCells count="2">
    <mergeCell ref="A1:F1"/>
    <mergeCell ref="A7:F7"/>
  </mergeCells>
  <pageMargins left="0.35" right="0.35" top="0.5" bottom="0.5" header="0.2" footer="0.2"/>
</worksheet>
</file>